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Users\Boris\Desktop\"/>
    </mc:Choice>
  </mc:AlternateContent>
  <bookViews>
    <workbookView xWindow="0" yWindow="0" windowWidth="13500" windowHeight="9558" firstSheet="1" activeTab="1"/>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info!$A$10:$A$17</definedName>
  </definedNames>
  <calcPr calcId="152511"/>
</workbook>
</file>

<file path=xl/calcChain.xml><?xml version="1.0" encoding="utf-8"?>
<calcChain xmlns="http://schemas.openxmlformats.org/spreadsheetml/2006/main">
  <c r="H12" i="6" l="1"/>
  <c r="H13" i="6"/>
  <c r="H14" i="6"/>
  <c r="H16" i="6"/>
  <c r="H18" i="6"/>
  <c r="H19" i="6"/>
  <c r="H20" i="6"/>
  <c r="H21" i="6"/>
  <c r="H22" i="6"/>
  <c r="H23" i="6"/>
  <c r="H24" i="6"/>
  <c r="H25" i="6"/>
  <c r="H26" i="6"/>
  <c r="H27" i="6"/>
  <c r="H28" i="6"/>
  <c r="H29" i="6"/>
  <c r="H30" i="6"/>
  <c r="H31" i="6"/>
  <c r="H32" i="6"/>
  <c r="H33" i="6"/>
  <c r="H34" i="6"/>
  <c r="H35" i="6"/>
  <c r="H36" i="6"/>
  <c r="H37" i="6"/>
  <c r="H38" i="6"/>
  <c r="H39" i="6"/>
  <c r="H40" i="6"/>
  <c r="H10" i="6"/>
  <c r="A7" i="11" l="1"/>
  <c r="G11" i="6" l="1"/>
  <c r="F11" i="6" s="1"/>
  <c r="H11" i="6" s="1"/>
  <c r="G12" i="6"/>
  <c r="G13" i="6"/>
  <c r="G14" i="6"/>
  <c r="F14" i="6" s="1"/>
  <c r="G15" i="6"/>
  <c r="F15" i="6" s="1"/>
  <c r="H15" i="6" s="1"/>
  <c r="G16" i="6"/>
  <c r="G17" i="6"/>
  <c r="F17" i="6" s="1"/>
  <c r="H17" i="6" s="1"/>
  <c r="G18" i="6"/>
  <c r="G19" i="6"/>
  <c r="G20" i="6"/>
  <c r="G21" i="6"/>
  <c r="G22" i="6"/>
  <c r="G23" i="6"/>
  <c r="G24" i="6"/>
  <c r="G25" i="6"/>
  <c r="G26" i="6"/>
  <c r="G27" i="6"/>
  <c r="G28" i="6"/>
  <c r="G29" i="6"/>
  <c r="G30" i="6"/>
  <c r="G31" i="6"/>
  <c r="G32" i="6"/>
  <c r="G33" i="6"/>
  <c r="G34" i="6"/>
  <c r="G35" i="6"/>
  <c r="G36" i="6"/>
  <c r="G37" i="6"/>
  <c r="G38" i="6"/>
  <c r="G39" i="6"/>
  <c r="G40" i="6"/>
  <c r="F12" i="6"/>
  <c r="F13" i="6"/>
  <c r="F16" i="6"/>
  <c r="F18" i="6"/>
  <c r="F19" i="6"/>
  <c r="F20" i="6"/>
  <c r="F21" i="6"/>
  <c r="F22" i="6"/>
  <c r="F23" i="6"/>
  <c r="F24" i="6"/>
  <c r="F25" i="6"/>
  <c r="F26" i="6"/>
  <c r="F27" i="6"/>
  <c r="F28" i="6"/>
  <c r="F29" i="6"/>
  <c r="F30" i="6"/>
  <c r="F31" i="6"/>
  <c r="F32" i="6"/>
  <c r="F33" i="6"/>
  <c r="F34" i="6"/>
  <c r="F35" i="6"/>
  <c r="F36" i="6"/>
  <c r="F37" i="6"/>
  <c r="F38" i="6"/>
  <c r="F39" i="6"/>
  <c r="F40" i="6"/>
  <c r="G10" i="6" l="1"/>
  <c r="F10" i="6"/>
  <c r="D5" i="6" l="1"/>
  <c r="A10" i="6" l="1"/>
  <c r="C10" i="6" s="1"/>
  <c r="A11" i="6" l="1"/>
  <c r="C11" i="6" s="1"/>
  <c r="H42" i="6"/>
  <c r="B10" i="6"/>
  <c r="B11" i="6" l="1"/>
  <c r="A12" i="6"/>
  <c r="C12" i="6" s="1"/>
  <c r="A13" i="6" l="1"/>
  <c r="C13" i="6" s="1"/>
  <c r="B12" i="6"/>
  <c r="A14" i="6" l="1"/>
  <c r="C14" i="6" s="1"/>
  <c r="B13" i="6"/>
  <c r="B14" i="6" l="1"/>
  <c r="A15" i="6"/>
  <c r="C15" i="6" s="1"/>
  <c r="A16" i="6" l="1"/>
  <c r="C16" i="6" s="1"/>
  <c r="B15" i="6"/>
  <c r="B16" i="6" l="1"/>
  <c r="A17" i="6"/>
  <c r="C17" i="6" s="1"/>
  <c r="B17" i="6" l="1"/>
  <c r="A18" i="6"/>
  <c r="C18" i="6" s="1"/>
  <c r="B18" i="6" l="1"/>
  <c r="A19" i="6"/>
  <c r="C19" i="6" s="1"/>
  <c r="B19" i="6" l="1"/>
  <c r="A20" i="6"/>
  <c r="C20" i="6" s="1"/>
  <c r="B20" i="6" l="1"/>
  <c r="A21" i="6"/>
  <c r="C21" i="6" s="1"/>
  <c r="B21" i="6" l="1"/>
  <c r="A22" i="6"/>
  <c r="C22" i="6" s="1"/>
  <c r="B22" i="6" l="1"/>
  <c r="A23" i="6"/>
  <c r="C23" i="6" s="1"/>
  <c r="B23" i="6" l="1"/>
  <c r="A24" i="6"/>
  <c r="C24" i="6" s="1"/>
  <c r="B24" i="6" l="1"/>
  <c r="A25" i="6"/>
  <c r="C25" i="6" s="1"/>
  <c r="B25" i="6" l="1"/>
  <c r="A26" i="6"/>
  <c r="C26" i="6" s="1"/>
  <c r="B26" i="6" l="1"/>
  <c r="A27" i="6"/>
  <c r="C27" i="6" s="1"/>
  <c r="B27" i="6" l="1"/>
  <c r="A28" i="6"/>
  <c r="C28" i="6" s="1"/>
  <c r="A29" i="6" l="1"/>
  <c r="C29" i="6" s="1"/>
  <c r="B28" i="6"/>
  <c r="B29" i="6" l="1"/>
  <c r="A30" i="6"/>
  <c r="C30" i="6" s="1"/>
  <c r="B30" i="6" l="1"/>
  <c r="A31" i="6"/>
  <c r="C31" i="6" s="1"/>
  <c r="B31" i="6" l="1"/>
  <c r="A32" i="6"/>
  <c r="C32" i="6" s="1"/>
  <c r="B32" i="6" l="1"/>
  <c r="A33" i="6"/>
  <c r="C33" i="6" s="1"/>
  <c r="B33" i="6" l="1"/>
  <c r="A34" i="6"/>
  <c r="C34" i="6" s="1"/>
  <c r="B34" i="6" l="1"/>
  <c r="A35" i="6"/>
  <c r="C35" i="6" s="1"/>
  <c r="B35" i="6" l="1"/>
  <c r="A36" i="6"/>
  <c r="C36" i="6" s="1"/>
  <c r="B36" i="6" l="1"/>
  <c r="A37" i="6"/>
  <c r="C37" i="6" s="1"/>
  <c r="B37" i="6" l="1"/>
  <c r="A38" i="6"/>
  <c r="C38" i="6" s="1"/>
  <c r="B38" i="6" l="1"/>
  <c r="A39" i="6"/>
  <c r="C39" i="6" s="1"/>
  <c r="B39" i="6" l="1"/>
  <c r="A40" i="6"/>
  <c r="C40" i="6" l="1"/>
  <c r="D44" i="6" s="1"/>
  <c r="D45" i="6" s="1"/>
  <c r="B40" i="6"/>
  <c r="D7" i="6" l="1"/>
  <c r="D6" i="6" s="1"/>
  <c r="H43" i="6" s="1"/>
  <c r="H46" i="6" s="1"/>
</calcChain>
</file>

<file path=xl/sharedStrings.xml><?xml version="1.0" encoding="utf-8"?>
<sst xmlns="http://schemas.openxmlformats.org/spreadsheetml/2006/main" count="68" uniqueCount="67">
  <si>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</si>
  <si>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</si>
  <si>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</si>
  <si>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</si>
  <si>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</si>
  <si>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</si>
  <si>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</si>
  <si>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</si>
  <si>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</si>
  <si>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</si>
  <si>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</si>
  <si>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</si>
  <si>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</si>
  <si>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</si>
  <si>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(rein kalkulatorisch ohne Berücksichtigung vertraglicher Regelungen)</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</si>
  <si>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</si>
  <si>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</si>
  <si>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</si>
  <si>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</si>
  <si>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</si>
  <si>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</si>
  <si>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</si>
  <si>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</si>
  <si>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</si>
  <si>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</si>
  <si>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Neujahr</t>
  </si>
  <si>
    <t>Pfingsten</t>
  </si>
  <si>
    <t>Frohnleichnahm</t>
  </si>
  <si>
    <t>Nationalfeiertag</t>
  </si>
  <si>
    <t>Allerheiligen</t>
  </si>
  <si>
    <t>Silvester</t>
  </si>
  <si>
    <t>Karfreitag</t>
  </si>
  <si>
    <t>Heiligabend</t>
  </si>
  <si>
    <t>erster Weihnachtstag</t>
  </si>
  <si>
    <t>zweiter Weihnachtstag</t>
  </si>
  <si>
    <t>Ostermontag</t>
  </si>
  <si>
    <t>Maifeiertag</t>
  </si>
  <si>
    <t>Himmelfahrt</t>
  </si>
  <si>
    <t>drei Könige</t>
  </si>
  <si>
    <t>automatisch eingetragene Feiertage</t>
  </si>
  <si>
    <t>Elternzeit</t>
  </si>
  <si>
    <t>Frei</t>
  </si>
  <si>
    <t>Für die abschließende Richtigkeit der Angaben ist der Mitarbeiter verantwortlich.</t>
  </si>
  <si>
    <t>erster Sonntag nach Frühlingsvollmond</t>
  </si>
  <si>
    <t>Ostern - 3 Tage</t>
  </si>
  <si>
    <t>Ostern + 50 Tage</t>
  </si>
  <si>
    <t>Ostern + 39 Tage</t>
  </si>
  <si>
    <t>Ostern + 60 Tage</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</si>
  <si>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</si>
  <si>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</si>
  <si>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</si>
  <si>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</si>
  <si>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</si>
  <si>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</si>
  <si>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</si>
  <si>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</si>
  <si>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</si>
  <si>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</si>
  <si>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</si>
  <si>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</si>
  <si>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</si>
  <si>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</si>
  <si>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</si>
  <si>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</si>
  <si>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unlocked</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</si>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</sst>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2" sqref="B2"/>
    </sheetView>
  </sheetViews>
  <sheetFormatPr baseColWidth="10" defaultRowHeight="14.4"/>
  <cols>
    <col min="3" max="3" width="17" customWidth="1"/>
  </cols>
  <sheetData>
    <row r="1" spans="1:3">
      <c r="A1" t="s">
        <v>53</v>
      </c>
      <c r="B1" t="s">
        <v>62</v>
      </c>
    </row>
    <row r="2" spans="1:3">
      <c r="A2" t="s">
        <v>64</v>
      </c>
      <c r="B2">
        <v>0</v>
      </c>
    </row>
    <row r="3" spans="1:3">
      <c r="A3" t="s">
        <v>52</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4"/>
  <cols>
    <col min="1" max="1" width="22.1015625" customWidth="1"/>
  </cols>
  <sheetData>
    <row r="1" spans="1:11" ht="139.5" customHeight="1">
      <c r="A1" s="37" t="s">
        <v>59</v>
      </c>
      <c r="B1" s="37"/>
      <c r="C1" s="37"/>
      <c r="D1" s="37"/>
      <c r="E1" s="37"/>
      <c r="F1" s="37"/>
      <c r="G1" s="32"/>
      <c r="H1" s="32"/>
      <c r="I1" s="32"/>
      <c r="J1" s="32"/>
      <c r="K1" s="32"/>
    </row>
    <row r="2" spans="1:11" ht="99" customHeight="1">
      <c r="A2" s="37" t="s">
        <v>58</v>
      </c>
      <c r="B2" s="37"/>
      <c r="C2" s="37"/>
      <c r="D2" s="37"/>
      <c r="E2" s="37"/>
      <c r="F2" s="37"/>
      <c r="G2" s="32"/>
      <c r="H2" s="32"/>
      <c r="I2" s="32"/>
      <c r="J2" s="32"/>
      <c r="K2" s="32"/>
    </row>
    <row r="3" spans="1:11" ht="125.25" customHeight="1">
      <c r="A3" s="37" t="s">
        <v>60</v>
      </c>
      <c r="B3" s="37"/>
      <c r="C3" s="37"/>
      <c r="D3" s="37"/>
      <c r="E3" s="37"/>
      <c r="F3" s="37"/>
      <c r="G3" s="32"/>
      <c r="H3" s="32"/>
      <c r="I3" s="32"/>
      <c r="J3" s="32"/>
      <c r="K3" s="32"/>
    </row>
    <row r="4" spans="1:11" ht="170.25" customHeight="1">
      <c r="A4" s="37" t="s">
        <v>66</v>
      </c>
      <c r="B4" s="37"/>
      <c r="C4" s="37"/>
      <c r="D4" s="37"/>
      <c r="E4" s="37"/>
      <c r="F4" s="37"/>
      <c r="G4" s="32"/>
      <c r="H4" s="32"/>
      <c r="I4" s="32"/>
      <c r="J4" s="32"/>
      <c r="K4" s="32"/>
    </row>
    <row r="5" spans="1:11" ht="124.5" customHeight="1">
      <c r="A5" s="37" t="s">
        <v>61</v>
      </c>
      <c r="B5" s="37"/>
      <c r="C5" s="37"/>
      <c r="D5" s="37"/>
      <c r="E5" s="37"/>
      <c r="F5" s="37"/>
      <c r="G5" s="32"/>
      <c r="H5" s="32"/>
      <c r="I5" s="32"/>
      <c r="J5" s="32"/>
      <c r="K5" s="32"/>
    </row>
    <row r="6" spans="1:11" ht="103.2" customHeight="1">
      <c r="A6" s="37" t="s">
        <v>57</v>
      </c>
      <c r="B6" s="37"/>
      <c r="C6" s="37"/>
      <c r="D6" s="37"/>
      <c r="E6" s="37"/>
      <c r="F6" s="37"/>
      <c r="G6" s="32"/>
      <c r="H6" s="32"/>
      <c r="I6" s="32"/>
      <c r="J6" s="32"/>
      <c r="K6" s="32"/>
    </row>
    <row r="7" spans="1:11" ht="16.5" customHeight="1">
      <c r="A7" s="38" t="str">
        <f>HYPERLINK("http://erroronline.one/column3/passwort.php")</f>
        <v>http://erroronline.one/column3/passwort.php</v>
      </c>
      <c r="B7" s="39"/>
      <c r="C7" s="39"/>
      <c r="D7" s="39"/>
      <c r="E7" s="39"/>
      <c r="F7" s="39"/>
      <c r="G7" s="33"/>
      <c r="H7" s="33"/>
      <c r="I7" s="33"/>
      <c r="J7" s="33"/>
      <c r="K7" s="33"/>
    </row>
    <row r="8" spans="1:11" ht="23.25" customHeight="1"/>
    <row r="9" spans="1:11">
      <c r="A9" s="2" t="s">
        <v>24</v>
      </c>
    </row>
    <row r="10" spans="1:11">
      <c r="A10" s="2"/>
    </row>
    <row r="11" spans="1:11">
      <c r="A11" t="s">
        <v>17</v>
      </c>
    </row>
    <row r="12" spans="1:11">
      <c r="A12" t="s">
        <v>12</v>
      </c>
    </row>
    <row r="13" spans="1:11">
      <c r="A13" t="s">
        <v>18</v>
      </c>
    </row>
    <row r="14" spans="1:11">
      <c r="A14" t="s">
        <v>19</v>
      </c>
    </row>
    <row r="15" spans="1:11">
      <c r="A15" t="s">
        <v>63</v>
      </c>
    </row>
    <row r="16" spans="1:11" s="36" customFormat="1">
      <c r="A16" s="36" t="s">
        <v>40</v>
      </c>
    </row>
    <row r="17" spans="1:2">
      <c r="A17" t="s">
        <v>65</v>
      </c>
    </row>
    <row r="19" spans="1:2">
      <c r="A19" s="2" t="s">
        <v>39</v>
      </c>
    </row>
    <row r="20" spans="1:2">
      <c r="A20" s="1" t="s">
        <v>25</v>
      </c>
      <c r="B20" s="34">
        <v>43466</v>
      </c>
    </row>
    <row r="21" spans="1:2">
      <c r="A21" s="1" t="s">
        <v>38</v>
      </c>
      <c r="B21" s="34">
        <v>43471</v>
      </c>
    </row>
    <row r="22" spans="1:2">
      <c r="A22" t="s">
        <v>31</v>
      </c>
      <c r="B22" s="35" t="s">
        <v>44</v>
      </c>
    </row>
    <row r="23" spans="1:2">
      <c r="A23" t="s">
        <v>35</v>
      </c>
      <c r="B23" s="35" t="s">
        <v>43</v>
      </c>
    </row>
    <row r="24" spans="1:2">
      <c r="A24" t="s">
        <v>36</v>
      </c>
      <c r="B24" s="34">
        <v>43586</v>
      </c>
    </row>
    <row r="25" spans="1:2">
      <c r="A25" t="s">
        <v>37</v>
      </c>
      <c r="B25" s="35" t="s">
        <v>46</v>
      </c>
    </row>
    <row r="26" spans="1:2">
      <c r="A26" t="s">
        <v>26</v>
      </c>
      <c r="B26" s="35" t="s">
        <v>45</v>
      </c>
    </row>
    <row r="27" spans="1:2">
      <c r="A27" t="s">
        <v>27</v>
      </c>
      <c r="B27" s="35" t="s">
        <v>47</v>
      </c>
    </row>
    <row r="28" spans="1:2">
      <c r="A28" t="s">
        <v>28</v>
      </c>
      <c r="B28" s="34">
        <v>43741</v>
      </c>
    </row>
    <row r="29" spans="1:2">
      <c r="A29" t="s">
        <v>29</v>
      </c>
      <c r="B29" s="34">
        <v>43770</v>
      </c>
    </row>
    <row r="30" spans="1:2">
      <c r="A30" t="s">
        <v>32</v>
      </c>
      <c r="B30" s="34">
        <v>43823</v>
      </c>
    </row>
    <row r="31" spans="1:2">
      <c r="A31" t="s">
        <v>33</v>
      </c>
      <c r="B31" s="34">
        <v>43824</v>
      </c>
    </row>
    <row r="32" spans="1:2">
      <c r="A32" t="s">
        <v>34</v>
      </c>
      <c r="B32" s="34">
        <v>43825</v>
      </c>
    </row>
    <row r="33" spans="1:2">
      <c r="A33" t="s">
        <v>30</v>
      </c>
      <c r="B33" s="34">
        <v>43830</v>
      </c>
    </row>
    <row r="34" spans="1:2">
      <c r="B34" s="1"/>
    </row>
  </sheetData>
  <sheetProtection algorithmName="SHA-512" hashValue="/sL/Pf5xIwTjlOQqn4T1yxhwCTW0XM6S34TbGDS88RioEHeTupICLuOby7ZFf3IbJt9Jw9CGxpIYZqIoFAGACA==" saltValue="hWafZ2RbDKuzAlYX8hnE3Q=="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0" zoomScaleNormal="110" zoomScaleSheetLayoutView="100" workbookViewId="0">
      <selection activeCell="D2" sqref="D2:H2"/>
    </sheetView>
  </sheetViews>
  <sheetFormatPr baseColWidth="10" defaultColWidth="9.1015625" defaultRowHeight="13.8"/>
  <cols>
    <col min="1" max="1" width="12" style="4" customWidth="1"/>
    <col min="2" max="2" width="6" style="4" customWidth="1"/>
    <col min="3" max="3" width="14.734375" style="4" customWidth="1"/>
    <col min="4" max="4" width="8" style="4" customWidth="1"/>
    <col min="5" max="5" width="7.41796875" style="4" customWidth="1"/>
    <col min="6" max="6" width="9.41796875" style="4" customWidth="1"/>
    <col min="7" max="7" width="9.83984375" style="4" customWidth="1"/>
    <col min="8" max="8" width="10.734375" style="4" customWidth="1"/>
    <col min="9" max="9" width="26.83984375" style="4" customWidth="1"/>
    <col min="10" max="16384" width="9.1015625" style="4"/>
  </cols>
  <sheetData>
    <row r="1" spans="1:9" ht="17.7">
      <c r="A1" s="28" t="s">
        <v>48</v>
      </c>
      <c r="B1" s="28"/>
      <c r="C1" s="29"/>
      <c r="D1" s="30"/>
      <c r="E1" s="30"/>
      <c r="F1" s="28"/>
      <c r="G1" s="28"/>
      <c r="H1" s="28"/>
      <c r="I1" s="28"/>
    </row>
    <row r="2" spans="1:9" ht="17.399999999999999">
      <c r="A2" s="28" t="s">
        <v>0</v>
      </c>
      <c r="B2" s="28"/>
      <c r="C2" s="28"/>
      <c r="D2" s="41"/>
      <c r="E2" s="41"/>
      <c r="F2" s="41"/>
      <c r="G2" s="41"/>
      <c r="H2" s="41"/>
      <c r="I2" s="31"/>
    </row>
    <row r="3" spans="1:9" ht="17.25" customHeight="1">
      <c r="A3" s="4" t="s">
        <v>16</v>
      </c>
      <c r="D3" s="42"/>
      <c r="E3" s="42"/>
      <c r="F3" s="42"/>
      <c r="G3" s="42"/>
      <c r="H3" s="42"/>
      <c r="I3" s="5"/>
    </row>
    <row r="4" spans="1:9" ht="17.25" customHeight="1">
      <c r="A4" s="4" t="s">
        <v>1</v>
      </c>
      <c r="C4" s="6"/>
      <c r="D4" s="23"/>
      <c r="E4" s="7" t="s">
        <v>54</v>
      </c>
    </row>
    <row r="5" spans="1:9" ht="17.25" customHeight="1">
      <c r="A5" s="6" t="s">
        <v>8</v>
      </c>
      <c r="C5" s="7"/>
      <c r="D5" s="4">
        <f>D4/5</f>
        <v>0</v>
      </c>
      <c r="E5" s="7" t="s">
        <v>14</v>
      </c>
    </row>
    <row r="6" spans="1:9" ht="17.25" customHeight="1">
      <c r="A6" s="6" t="s">
        <v>9</v>
      </c>
      <c r="C6" s="6"/>
      <c r="D6" s="4">
        <f>D5*D7</f>
        <v>0</v>
      </c>
      <c r="E6" s="7"/>
    </row>
    <row r="7" spans="1:9" ht="17.25" customHeight="1">
      <c r="A7" s="4" t="s">
        <v>7</v>
      </c>
      <c r="C7" s="6"/>
      <c r="D7" s="8">
        <f>COUNTIFS(B10:B40,"?*",B10:B40,"&lt;&gt;Sa",B10:B40,"&lt;&gt;So")-COUNTIFS(C10:C40,"?*",B10:B40,"&lt;&gt;Sa",B10:B40,"&lt;&gt;So")</f>
        <v>0</v>
      </c>
      <c r="E7" s="6"/>
      <c r="F7" s="6"/>
    </row>
    <row r="8" spans="1:9" ht="17.25" customHeight="1">
      <c r="H8" s="9"/>
    </row>
    <row r="9" spans="1:9" ht="17.25" customHeight="1">
      <c r="A9" s="4" t="s">
        <v>2</v>
      </c>
      <c r="B9" s="4" t="s">
        <v>51</v>
      </c>
      <c r="C9" s="4" t="s">
        <v>41</v>
      </c>
      <c r="D9" s="4" t="s">
        <v>3</v>
      </c>
      <c r="E9" s="4" t="s">
        <v>4</v>
      </c>
      <c r="F9" s="4" t="s">
        <v>55</v>
      </c>
      <c r="G9" s="4" t="s">
        <v>56</v>
      </c>
      <c r="H9" s="4" t="s">
        <v>5</v>
      </c>
      <c r="I9" s="4" t="s">
        <v>20</v>
      </c>
    </row>
    <row r="10" spans="1:9" ht="17.25" customHeight="1">
      <c r="A10" s="10" t="e">
        <f>DATE(E1,D1,1)</f>
        <v>#NUM!</v>
      </c>
      <c r="B10" s="4" t="e">
        <f>TEXT(A10,"TTT")</f>
        <v>#NUM!</v>
      </c>
      <c r="C10" s="11" t="e">
        <f>IF(OR($A10=DATE($E$1,1,1),$A10=DATE($E$1,1,6),$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0">IF(E10-D10-(G10/60/24)&gt;9/24,15,0)</f>
        <v>0</v>
      </c>
      <c r="G10" s="11">
        <f t="shared" ref="G10:G40" si="1">IF(E10-D10&gt;6/24,30,0)</f>
        <v>0</v>
      </c>
      <c r="H10" s="14">
        <f>E10-D10-IF(OR(VALUE(F10)&lt;&gt;0,E10-D10-(VALUE(G10)/60/24)&gt;9/24),IF(VALUE(F10)&lt;15,15/60/24,VALUE(F10)/60/24),VALUE(F10)/60/24)-IF(OR(VALUE(G10)&lt;&gt;0,E10-D10&gt;6/24),IF(VALUE(G10)&lt;30,30/60/24,VALUE(G10)/60/24),VALUE(G10)/60/24)</f>
        <v>0</v>
      </c>
      <c r="I10" s="11"/>
    </row>
    <row r="11" spans="1:9" ht="17.25" customHeight="1">
      <c r="A11" s="10" t="str">
        <f>IFERROR(IF(AND(A10&lt;&gt;"",A10+1&lt;=EOMONTH(A10,0)),A10+1,""),"")</f>
        <v/>
      </c>
      <c r="B11" s="4" t="str">
        <f t="shared" ref="B11:B40" si="2">TEXT(A11,"TTT")</f>
        <v/>
      </c>
      <c r="C11" s="11" t="e">
        <f t="shared" ref="C11:C40" si="3">IF(OR($A11=DATE($E$1,1,1),$A11=DATE($E$1,1,6),$A11=DATE($E$1,5,1),$A11=DATE($E$1,10,3),$A11=DATE($E$1,11,1),$A11=DATE($E$1,12,24),$A11=DATE($E$1,12,25),$A11=DATE($E$1,12,26),$A11=DATE($E$1,12,31),$A11=ROUND((DAY(MINUTE($E$1/38)/2+55)&amp;".4."&amp;$E$1)/7,)*7-6-3,$A11=ROUND((DAY(MINUTE($E$1/38)/2+55)&amp;".4."&amp;$E$1)/7,)*7-6,$A11=ROUND((DAY(MINUTE($E$1/38)/2+55)&amp;".4."&amp;$E$1)/7,)*7-6+1,$A11=ROUND((DAY(MINUTE($E$1/38)/2+55)&amp;".4."&amp;$E$1)/7,)*7-6+39,$A11=ROUND((DAY(MINUTE($E$1/38)/2+55)&amp;".4."&amp;$E$1)/7,)*7-6+50,$A11=ROUND((DAY(MINUTE($E$1/38)/2+55)&amp;".4."&amp;$E$1)/7,)*7-6+60,),"Feiertag","")</f>
        <v>#VALUE!</v>
      </c>
      <c r="D11" s="15"/>
      <c r="E11" s="16"/>
      <c r="F11" s="11">
        <f t="shared" si="0"/>
        <v>0</v>
      </c>
      <c r="G11" s="11">
        <f t="shared" si="1"/>
        <v>0</v>
      </c>
      <c r="H11" s="14">
        <f t="shared" ref="H11:H40" si="4">E11-D11-IF(OR(VALUE(F11)&lt;&gt;0,E11-D11-(VALUE(G11)/60/24)&gt;9/24),IF(VALUE(F11)&lt;15,15/60/24,VALUE(F11)/60/24),VALUE(F11)/60/24)-IF(OR(VALUE(G11)&lt;&gt;0,E11-D11&gt;6/24),IF(VALUE(G11)&lt;30,30/60/24,VALUE(G11)/60/24),VALUE(G11)/60/24)</f>
        <v>0</v>
      </c>
      <c r="I11" s="11"/>
    </row>
    <row r="12" spans="1:9" ht="17.25" customHeight="1">
      <c r="A12" s="10" t="str">
        <f t="shared" ref="A12:A40" si="5">IFERROR(IF(AND(A11&lt;&gt;"",A11+1&lt;=EOMONTH(A11,0)),A11+1,""),"")</f>
        <v/>
      </c>
      <c r="B12" s="4" t="str">
        <f t="shared" si="2"/>
        <v/>
      </c>
      <c r="C12" s="11" t="e">
        <f t="shared" si="3"/>
        <v>#VALUE!</v>
      </c>
      <c r="D12" s="15"/>
      <c r="E12" s="16"/>
      <c r="F12" s="11">
        <f t="shared" si="0"/>
        <v>0</v>
      </c>
      <c r="G12" s="11">
        <f t="shared" si="1"/>
        <v>0</v>
      </c>
      <c r="H12" s="14">
        <f t="shared" si="4"/>
        <v>0</v>
      </c>
      <c r="I12" s="11"/>
    </row>
    <row r="13" spans="1:9" ht="17.25" customHeight="1">
      <c r="A13" s="10" t="str">
        <f t="shared" si="5"/>
        <v/>
      </c>
      <c r="B13" s="4" t="str">
        <f t="shared" si="2"/>
        <v/>
      </c>
      <c r="C13" s="11" t="e">
        <f t="shared" si="3"/>
        <v>#VALUE!</v>
      </c>
      <c r="D13" s="15"/>
      <c r="E13" s="16"/>
      <c r="F13" s="11">
        <f t="shared" si="0"/>
        <v>0</v>
      </c>
      <c r="G13" s="11">
        <f t="shared" si="1"/>
        <v>0</v>
      </c>
      <c r="H13" s="14">
        <f t="shared" si="4"/>
        <v>0</v>
      </c>
      <c r="I13" s="11"/>
    </row>
    <row r="14" spans="1:9" ht="17.25" customHeight="1">
      <c r="A14" s="10" t="str">
        <f t="shared" si="5"/>
        <v/>
      </c>
      <c r="B14" s="4" t="str">
        <f t="shared" si="2"/>
        <v/>
      </c>
      <c r="C14" s="11" t="e">
        <f t="shared" si="3"/>
        <v>#VALUE!</v>
      </c>
      <c r="D14" s="15"/>
      <c r="E14" s="16"/>
      <c r="F14" s="11">
        <f t="shared" si="0"/>
        <v>0</v>
      </c>
      <c r="G14" s="11">
        <f t="shared" si="1"/>
        <v>0</v>
      </c>
      <c r="H14" s="14">
        <f t="shared" si="4"/>
        <v>0</v>
      </c>
      <c r="I14" s="11"/>
    </row>
    <row r="15" spans="1:9" ht="17.25" customHeight="1">
      <c r="A15" s="10" t="str">
        <f t="shared" si="5"/>
        <v/>
      </c>
      <c r="B15" s="4" t="str">
        <f t="shared" si="2"/>
        <v/>
      </c>
      <c r="C15" s="11" t="e">
        <f t="shared" si="3"/>
        <v>#VALUE!</v>
      </c>
      <c r="D15" s="15"/>
      <c r="E15" s="16"/>
      <c r="F15" s="11">
        <f t="shared" si="0"/>
        <v>0</v>
      </c>
      <c r="G15" s="11">
        <f t="shared" si="1"/>
        <v>0</v>
      </c>
      <c r="H15" s="14">
        <f t="shared" si="4"/>
        <v>0</v>
      </c>
      <c r="I15" s="11"/>
    </row>
    <row r="16" spans="1:9" ht="17.25" customHeight="1">
      <c r="A16" s="10" t="str">
        <f t="shared" si="5"/>
        <v/>
      </c>
      <c r="B16" s="4" t="str">
        <f t="shared" si="2"/>
        <v/>
      </c>
      <c r="C16" s="11" t="e">
        <f t="shared" si="3"/>
        <v>#VALUE!</v>
      </c>
      <c r="D16" s="15"/>
      <c r="E16" s="16"/>
      <c r="F16" s="11">
        <f t="shared" si="0"/>
        <v>0</v>
      </c>
      <c r="G16" s="11">
        <f t="shared" si="1"/>
        <v>0</v>
      </c>
      <c r="H16" s="14">
        <f t="shared" si="4"/>
        <v>0</v>
      </c>
      <c r="I16" s="11"/>
    </row>
    <row r="17" spans="1:9" ht="17.25" customHeight="1">
      <c r="A17" s="10" t="str">
        <f t="shared" si="5"/>
        <v/>
      </c>
      <c r="B17" s="4" t="str">
        <f t="shared" si="2"/>
        <v/>
      </c>
      <c r="C17" s="11" t="e">
        <f t="shared" si="3"/>
        <v>#VALUE!</v>
      </c>
      <c r="D17" s="15"/>
      <c r="E17" s="16"/>
      <c r="F17" s="11">
        <f t="shared" si="0"/>
        <v>0</v>
      </c>
      <c r="G17" s="11">
        <f t="shared" si="1"/>
        <v>0</v>
      </c>
      <c r="H17" s="14">
        <f t="shared" si="4"/>
        <v>0</v>
      </c>
      <c r="I17" s="11"/>
    </row>
    <row r="18" spans="1:9" ht="17.25" customHeight="1">
      <c r="A18" s="10" t="str">
        <f t="shared" si="5"/>
        <v/>
      </c>
      <c r="B18" s="4" t="str">
        <f t="shared" si="2"/>
        <v/>
      </c>
      <c r="C18" s="11" t="e">
        <f t="shared" si="3"/>
        <v>#VALUE!</v>
      </c>
      <c r="D18" s="15"/>
      <c r="E18" s="16"/>
      <c r="F18" s="11">
        <f t="shared" si="0"/>
        <v>0</v>
      </c>
      <c r="G18" s="11">
        <f t="shared" si="1"/>
        <v>0</v>
      </c>
      <c r="H18" s="14">
        <f t="shared" si="4"/>
        <v>0</v>
      </c>
      <c r="I18" s="11"/>
    </row>
    <row r="19" spans="1:9" ht="17.25" customHeight="1">
      <c r="A19" s="10" t="str">
        <f t="shared" si="5"/>
        <v/>
      </c>
      <c r="B19" s="4" t="str">
        <f t="shared" si="2"/>
        <v/>
      </c>
      <c r="C19" s="11" t="e">
        <f t="shared" si="3"/>
        <v>#VALUE!</v>
      </c>
      <c r="D19" s="15"/>
      <c r="E19" s="16"/>
      <c r="F19" s="11">
        <f t="shared" si="0"/>
        <v>0</v>
      </c>
      <c r="G19" s="11">
        <f t="shared" si="1"/>
        <v>0</v>
      </c>
      <c r="H19" s="14">
        <f t="shared" si="4"/>
        <v>0</v>
      </c>
      <c r="I19" s="11"/>
    </row>
    <row r="20" spans="1:9" ht="17.25" customHeight="1">
      <c r="A20" s="10" t="str">
        <f t="shared" si="5"/>
        <v/>
      </c>
      <c r="B20" s="4" t="str">
        <f t="shared" si="2"/>
        <v/>
      </c>
      <c r="C20" s="11" t="e">
        <f t="shared" si="3"/>
        <v>#VALUE!</v>
      </c>
      <c r="D20" s="15"/>
      <c r="E20" s="16"/>
      <c r="F20" s="11">
        <f t="shared" si="0"/>
        <v>0</v>
      </c>
      <c r="G20" s="11">
        <f t="shared" si="1"/>
        <v>0</v>
      </c>
      <c r="H20" s="14">
        <f t="shared" si="4"/>
        <v>0</v>
      </c>
      <c r="I20" s="11"/>
    </row>
    <row r="21" spans="1:9" ht="17.25" customHeight="1">
      <c r="A21" s="10" t="str">
        <f t="shared" si="5"/>
        <v/>
      </c>
      <c r="B21" s="4" t="str">
        <f t="shared" si="2"/>
        <v/>
      </c>
      <c r="C21" s="11" t="e">
        <f t="shared" si="3"/>
        <v>#VALUE!</v>
      </c>
      <c r="D21" s="15"/>
      <c r="E21" s="16"/>
      <c r="F21" s="11">
        <f t="shared" si="0"/>
        <v>0</v>
      </c>
      <c r="G21" s="11">
        <f t="shared" si="1"/>
        <v>0</v>
      </c>
      <c r="H21" s="14">
        <f t="shared" si="4"/>
        <v>0</v>
      </c>
      <c r="I21" s="11"/>
    </row>
    <row r="22" spans="1:9" ht="17.25" customHeight="1">
      <c r="A22" s="10" t="str">
        <f t="shared" si="5"/>
        <v/>
      </c>
      <c r="B22" s="4" t="str">
        <f t="shared" si="2"/>
        <v/>
      </c>
      <c r="C22" s="11" t="e">
        <f t="shared" si="3"/>
        <v>#VALUE!</v>
      </c>
      <c r="D22" s="15"/>
      <c r="E22" s="16"/>
      <c r="F22" s="11">
        <f t="shared" si="0"/>
        <v>0</v>
      </c>
      <c r="G22" s="11">
        <f t="shared" si="1"/>
        <v>0</v>
      </c>
      <c r="H22" s="14">
        <f t="shared" si="4"/>
        <v>0</v>
      </c>
      <c r="I22" s="11"/>
    </row>
    <row r="23" spans="1:9" ht="17.25" customHeight="1">
      <c r="A23" s="10" t="str">
        <f t="shared" si="5"/>
        <v/>
      </c>
      <c r="B23" s="4" t="str">
        <f t="shared" si="2"/>
        <v/>
      </c>
      <c r="C23" s="11" t="e">
        <f t="shared" si="3"/>
        <v>#VALUE!</v>
      </c>
      <c r="D23" s="15"/>
      <c r="E23" s="16"/>
      <c r="F23" s="11">
        <f t="shared" si="0"/>
        <v>0</v>
      </c>
      <c r="G23" s="11">
        <f t="shared" si="1"/>
        <v>0</v>
      </c>
      <c r="H23" s="14">
        <f t="shared" si="4"/>
        <v>0</v>
      </c>
      <c r="I23" s="11"/>
    </row>
    <row r="24" spans="1:9" ht="17.25" customHeight="1">
      <c r="A24" s="10" t="str">
        <f t="shared" si="5"/>
        <v/>
      </c>
      <c r="B24" s="4" t="str">
        <f t="shared" si="2"/>
        <v/>
      </c>
      <c r="C24" s="11" t="e">
        <f t="shared" si="3"/>
        <v>#VALUE!</v>
      </c>
      <c r="D24" s="15"/>
      <c r="E24" s="16"/>
      <c r="F24" s="11">
        <f t="shared" si="0"/>
        <v>0</v>
      </c>
      <c r="G24" s="11">
        <f t="shared" si="1"/>
        <v>0</v>
      </c>
      <c r="H24" s="14">
        <f t="shared" si="4"/>
        <v>0</v>
      </c>
      <c r="I24" s="11"/>
    </row>
    <row r="25" spans="1:9" ht="17.25" customHeight="1">
      <c r="A25" s="10" t="str">
        <f t="shared" si="5"/>
        <v/>
      </c>
      <c r="B25" s="4" t="str">
        <f t="shared" si="2"/>
        <v/>
      </c>
      <c r="C25" s="11" t="e">
        <f t="shared" si="3"/>
        <v>#VALUE!</v>
      </c>
      <c r="D25" s="15"/>
      <c r="E25" s="16"/>
      <c r="F25" s="11">
        <f t="shared" si="0"/>
        <v>0</v>
      </c>
      <c r="G25" s="11">
        <f t="shared" si="1"/>
        <v>0</v>
      </c>
      <c r="H25" s="14">
        <f t="shared" si="4"/>
        <v>0</v>
      </c>
      <c r="I25" s="11"/>
    </row>
    <row r="26" spans="1:9" ht="17.25" customHeight="1">
      <c r="A26" s="10" t="str">
        <f t="shared" si="5"/>
        <v/>
      </c>
      <c r="B26" s="4" t="str">
        <f t="shared" si="2"/>
        <v/>
      </c>
      <c r="C26" s="11" t="e">
        <f t="shared" si="3"/>
        <v>#VALUE!</v>
      </c>
      <c r="D26" s="15"/>
      <c r="E26" s="16"/>
      <c r="F26" s="11">
        <f t="shared" si="0"/>
        <v>0</v>
      </c>
      <c r="G26" s="11">
        <f t="shared" si="1"/>
        <v>0</v>
      </c>
      <c r="H26" s="14">
        <f t="shared" si="4"/>
        <v>0</v>
      </c>
      <c r="I26" s="11"/>
    </row>
    <row r="27" spans="1:9" ht="17.25" customHeight="1">
      <c r="A27" s="10" t="str">
        <f t="shared" si="5"/>
        <v/>
      </c>
      <c r="B27" s="4" t="str">
        <f t="shared" si="2"/>
        <v/>
      </c>
      <c r="C27" s="11" t="e">
        <f t="shared" si="3"/>
        <v>#VALUE!</v>
      </c>
      <c r="D27" s="15"/>
      <c r="E27" s="16"/>
      <c r="F27" s="11">
        <f t="shared" si="0"/>
        <v>0</v>
      </c>
      <c r="G27" s="11">
        <f t="shared" si="1"/>
        <v>0</v>
      </c>
      <c r="H27" s="14">
        <f t="shared" si="4"/>
        <v>0</v>
      </c>
      <c r="I27" s="11"/>
    </row>
    <row r="28" spans="1:9" ht="17.25" customHeight="1">
      <c r="A28" s="10" t="str">
        <f t="shared" si="5"/>
        <v/>
      </c>
      <c r="B28" s="4" t="str">
        <f t="shared" si="2"/>
        <v/>
      </c>
      <c r="C28" s="11" t="e">
        <f t="shared" si="3"/>
        <v>#VALUE!</v>
      </c>
      <c r="D28" s="15"/>
      <c r="E28" s="16"/>
      <c r="F28" s="11">
        <f t="shared" si="0"/>
        <v>0</v>
      </c>
      <c r="G28" s="11">
        <f t="shared" si="1"/>
        <v>0</v>
      </c>
      <c r="H28" s="14">
        <f t="shared" si="4"/>
        <v>0</v>
      </c>
      <c r="I28" s="11"/>
    </row>
    <row r="29" spans="1:9" ht="17.25" customHeight="1">
      <c r="A29" s="10" t="str">
        <f t="shared" si="5"/>
        <v/>
      </c>
      <c r="B29" s="4" t="str">
        <f t="shared" si="2"/>
        <v/>
      </c>
      <c r="C29" s="11" t="e">
        <f t="shared" si="3"/>
        <v>#VALUE!</v>
      </c>
      <c r="D29" s="15"/>
      <c r="E29" s="16"/>
      <c r="F29" s="11">
        <f t="shared" si="0"/>
        <v>0</v>
      </c>
      <c r="G29" s="11">
        <f t="shared" si="1"/>
        <v>0</v>
      </c>
      <c r="H29" s="14">
        <f t="shared" si="4"/>
        <v>0</v>
      </c>
      <c r="I29" s="11"/>
    </row>
    <row r="30" spans="1:9" ht="17.25" customHeight="1">
      <c r="A30" s="10" t="str">
        <f t="shared" si="5"/>
        <v/>
      </c>
      <c r="B30" s="4" t="str">
        <f t="shared" si="2"/>
        <v/>
      </c>
      <c r="C30" s="11" t="e">
        <f t="shared" si="3"/>
        <v>#VALUE!</v>
      </c>
      <c r="D30" s="15"/>
      <c r="E30" s="16"/>
      <c r="F30" s="11">
        <f t="shared" si="0"/>
        <v>0</v>
      </c>
      <c r="G30" s="11">
        <f t="shared" si="1"/>
        <v>0</v>
      </c>
      <c r="H30" s="14">
        <f t="shared" si="4"/>
        <v>0</v>
      </c>
      <c r="I30" s="11"/>
    </row>
    <row r="31" spans="1:9" ht="17.25" customHeight="1">
      <c r="A31" s="10" t="str">
        <f t="shared" si="5"/>
        <v/>
      </c>
      <c r="B31" s="4" t="str">
        <f t="shared" si="2"/>
        <v/>
      </c>
      <c r="C31" s="11" t="e">
        <f t="shared" si="3"/>
        <v>#VALUE!</v>
      </c>
      <c r="D31" s="15"/>
      <c r="E31" s="16"/>
      <c r="F31" s="11">
        <f t="shared" si="0"/>
        <v>0</v>
      </c>
      <c r="G31" s="11">
        <f t="shared" si="1"/>
        <v>0</v>
      </c>
      <c r="H31" s="14">
        <f t="shared" si="4"/>
        <v>0</v>
      </c>
      <c r="I31" s="11"/>
    </row>
    <row r="32" spans="1:9" ht="17.25" customHeight="1">
      <c r="A32" s="10" t="str">
        <f t="shared" si="5"/>
        <v/>
      </c>
      <c r="B32" s="4" t="str">
        <f t="shared" si="2"/>
        <v/>
      </c>
      <c r="C32" s="11" t="e">
        <f t="shared" si="3"/>
        <v>#VALUE!</v>
      </c>
      <c r="D32" s="15"/>
      <c r="E32" s="16"/>
      <c r="F32" s="11">
        <f t="shared" si="0"/>
        <v>0</v>
      </c>
      <c r="G32" s="11">
        <f t="shared" si="1"/>
        <v>0</v>
      </c>
      <c r="H32" s="14">
        <f t="shared" si="4"/>
        <v>0</v>
      </c>
      <c r="I32" s="11"/>
    </row>
    <row r="33" spans="1:9" ht="17.25" customHeight="1">
      <c r="A33" s="10" t="str">
        <f t="shared" si="5"/>
        <v/>
      </c>
      <c r="B33" s="4" t="str">
        <f t="shared" si="2"/>
        <v/>
      </c>
      <c r="C33" s="11" t="e">
        <f t="shared" si="3"/>
        <v>#VALUE!</v>
      </c>
      <c r="D33" s="15"/>
      <c r="E33" s="16"/>
      <c r="F33" s="11">
        <f t="shared" si="0"/>
        <v>0</v>
      </c>
      <c r="G33" s="11">
        <f t="shared" si="1"/>
        <v>0</v>
      </c>
      <c r="H33" s="14">
        <f t="shared" si="4"/>
        <v>0</v>
      </c>
      <c r="I33" s="11"/>
    </row>
    <row r="34" spans="1:9" ht="17.25" customHeight="1">
      <c r="A34" s="10" t="str">
        <f t="shared" si="5"/>
        <v/>
      </c>
      <c r="B34" s="4" t="str">
        <f t="shared" si="2"/>
        <v/>
      </c>
      <c r="C34" s="11" t="e">
        <f t="shared" si="3"/>
        <v>#VALUE!</v>
      </c>
      <c r="D34" s="15"/>
      <c r="E34" s="16"/>
      <c r="F34" s="11">
        <f t="shared" si="0"/>
        <v>0</v>
      </c>
      <c r="G34" s="11">
        <f t="shared" si="1"/>
        <v>0</v>
      </c>
      <c r="H34" s="14">
        <f t="shared" si="4"/>
        <v>0</v>
      </c>
      <c r="I34" s="11"/>
    </row>
    <row r="35" spans="1:9" ht="17.25" customHeight="1">
      <c r="A35" s="10" t="str">
        <f t="shared" si="5"/>
        <v/>
      </c>
      <c r="B35" s="4" t="str">
        <f t="shared" si="2"/>
        <v/>
      </c>
      <c r="C35" s="11" t="e">
        <f t="shared" si="3"/>
        <v>#VALUE!</v>
      </c>
      <c r="D35" s="15"/>
      <c r="E35" s="16"/>
      <c r="F35" s="11">
        <f t="shared" si="0"/>
        <v>0</v>
      </c>
      <c r="G35" s="11">
        <f t="shared" si="1"/>
        <v>0</v>
      </c>
      <c r="H35" s="14">
        <f t="shared" si="4"/>
        <v>0</v>
      </c>
      <c r="I35" s="11"/>
    </row>
    <row r="36" spans="1:9" ht="17.25" customHeight="1">
      <c r="A36" s="10" t="str">
        <f t="shared" si="5"/>
        <v/>
      </c>
      <c r="B36" s="4" t="str">
        <f t="shared" si="2"/>
        <v/>
      </c>
      <c r="C36" s="11" t="e">
        <f t="shared" si="3"/>
        <v>#VALUE!</v>
      </c>
      <c r="D36" s="15"/>
      <c r="E36" s="16"/>
      <c r="F36" s="11">
        <f t="shared" si="0"/>
        <v>0</v>
      </c>
      <c r="G36" s="11">
        <f t="shared" si="1"/>
        <v>0</v>
      </c>
      <c r="H36" s="14">
        <f t="shared" si="4"/>
        <v>0</v>
      </c>
      <c r="I36" s="11"/>
    </row>
    <row r="37" spans="1:9" ht="17.25" customHeight="1">
      <c r="A37" s="10" t="str">
        <f t="shared" si="5"/>
        <v/>
      </c>
      <c r="B37" s="4" t="str">
        <f t="shared" si="2"/>
        <v/>
      </c>
      <c r="C37" s="11" t="e">
        <f t="shared" si="3"/>
        <v>#VALUE!</v>
      </c>
      <c r="D37" s="15"/>
      <c r="E37" s="16"/>
      <c r="F37" s="11">
        <f t="shared" si="0"/>
        <v>0</v>
      </c>
      <c r="G37" s="11">
        <f t="shared" si="1"/>
        <v>0</v>
      </c>
      <c r="H37" s="14">
        <f t="shared" si="4"/>
        <v>0</v>
      </c>
      <c r="I37" s="11"/>
    </row>
    <row r="38" spans="1:9" ht="17.25" customHeight="1">
      <c r="A38" s="10" t="str">
        <f t="shared" si="5"/>
        <v/>
      </c>
      <c r="B38" s="4" t="str">
        <f t="shared" si="2"/>
        <v/>
      </c>
      <c r="C38" s="11" t="e">
        <f t="shared" si="3"/>
        <v>#VALUE!</v>
      </c>
      <c r="D38" s="15"/>
      <c r="E38" s="16"/>
      <c r="F38" s="11">
        <f t="shared" si="0"/>
        <v>0</v>
      </c>
      <c r="G38" s="11">
        <f t="shared" si="1"/>
        <v>0</v>
      </c>
      <c r="H38" s="14">
        <f t="shared" si="4"/>
        <v>0</v>
      </c>
      <c r="I38" s="11"/>
    </row>
    <row r="39" spans="1:9" ht="17.25" customHeight="1">
      <c r="A39" s="10" t="str">
        <f t="shared" si="5"/>
        <v/>
      </c>
      <c r="B39" s="4" t="str">
        <f t="shared" si="2"/>
        <v/>
      </c>
      <c r="C39" s="11" t="e">
        <f t="shared" si="3"/>
        <v>#VALUE!</v>
      </c>
      <c r="D39" s="15"/>
      <c r="E39" s="16"/>
      <c r="F39" s="11">
        <f t="shared" si="0"/>
        <v>0</v>
      </c>
      <c r="G39" s="11">
        <f t="shared" si="1"/>
        <v>0</v>
      </c>
      <c r="H39" s="14">
        <f t="shared" si="4"/>
        <v>0</v>
      </c>
      <c r="I39" s="11"/>
    </row>
    <row r="40" spans="1:9" ht="17.25" customHeight="1">
      <c r="A40" s="10" t="str">
        <f t="shared" si="5"/>
        <v/>
      </c>
      <c r="B40" s="4" t="str">
        <f t="shared" si="2"/>
        <v/>
      </c>
      <c r="C40" s="11" t="e">
        <f t="shared" si="3"/>
        <v>#VALUE!</v>
      </c>
      <c r="D40" s="17"/>
      <c r="E40" s="18"/>
      <c r="F40" s="11">
        <f t="shared" si="0"/>
        <v>0</v>
      </c>
      <c r="G40" s="11">
        <f t="shared" si="1"/>
        <v>0</v>
      </c>
      <c r="H40" s="14">
        <f t="shared" si="4"/>
        <v>0</v>
      </c>
      <c r="I40" s="11"/>
    </row>
    <row r="41" spans="1:9" s="20" customFormat="1" ht="17.25" customHeight="1">
      <c r="A41" s="19"/>
      <c r="D41" s="21"/>
      <c r="E41" s="21"/>
      <c r="H41" s="21"/>
      <c r="I41" s="22"/>
    </row>
    <row r="42" spans="1:9" s="20" customFormat="1" ht="17.25" customHeight="1">
      <c r="C42" s="19" t="s">
        <v>49</v>
      </c>
      <c r="D42" s="23"/>
      <c r="E42" s="21"/>
      <c r="F42" s="43" t="s">
        <v>13</v>
      </c>
      <c r="G42" s="43"/>
      <c r="H42" s="8">
        <f>SUM(H10:H40)*24</f>
        <v>0</v>
      </c>
      <c r="I42" s="22"/>
    </row>
    <row r="43" spans="1:9" ht="17.25" customHeight="1">
      <c r="C43" s="4" t="s">
        <v>50</v>
      </c>
      <c r="D43" s="4">
        <v>0</v>
      </c>
      <c r="F43" s="44" t="s">
        <v>6</v>
      </c>
      <c r="G43" s="44"/>
      <c r="H43" s="24">
        <f>H42-D6</f>
        <v>0</v>
      </c>
      <c r="I43" s="11"/>
    </row>
    <row r="44" spans="1:9" ht="17.25" customHeight="1">
      <c r="C44" s="4" t="s">
        <v>12</v>
      </c>
      <c r="D44" s="4">
        <f>COUNTIFS(C11:C41,"Urlaub",B11:B41,"&lt;&gt;Sa",B11:B41,"&lt;&gt;So")</f>
        <v>0</v>
      </c>
      <c r="F44" s="40" t="s">
        <v>10</v>
      </c>
      <c r="G44" s="40"/>
      <c r="H44" s="24">
        <v>0</v>
      </c>
      <c r="I44" s="11"/>
    </row>
    <row r="45" spans="1:9" ht="17.25" customHeight="1">
      <c r="C45" s="19" t="s">
        <v>15</v>
      </c>
      <c r="D45" s="4">
        <f>D42+D43-D44</f>
        <v>0</v>
      </c>
      <c r="F45" s="40" t="s">
        <v>23</v>
      </c>
      <c r="G45" s="40"/>
      <c r="H45" s="25"/>
      <c r="I45" s="11"/>
    </row>
    <row r="46" spans="1:9" ht="17.25" customHeight="1">
      <c r="F46" s="40" t="s">
        <v>11</v>
      </c>
      <c r="G46" s="40"/>
      <c r="H46" s="24">
        <f>SUM(H43:H45)</f>
        <v>0</v>
      </c>
      <c r="I46" s="11"/>
    </row>
    <row r="47" spans="1:9" ht="17.25" customHeight="1"/>
    <row r="48" spans="1:9" ht="17.25" customHeight="1">
      <c r="A48" s="4" t="s">
        <v>42</v>
      </c>
    </row>
    <row r="49" spans="1:9" ht="17.25" customHeight="1"/>
    <row r="50" spans="1:9" ht="17.25" customHeight="1"/>
    <row r="51" spans="1:9" ht="17.25" customHeight="1">
      <c r="A51" s="26" t="s">
        <v>21</v>
      </c>
      <c r="B51" s="27"/>
      <c r="C51" s="27"/>
      <c r="D51" s="27"/>
      <c r="F51" s="26" t="s">
        <v>22</v>
      </c>
      <c r="G51" s="27"/>
      <c r="H51" s="27"/>
      <c r="I51" s="27"/>
    </row>
  </sheetData>
  <sheetProtection algorithmName="SHA-512" hashValue="5snOMOCdCvrMYgbCgGrezLa5FX8+IYqFIKPCIO43UunTqJwRjqX64NzVfD3fBdAU27IrEFGgC8vLbnsksQkAhA==" saltValue="Zx+s21kNNjIvQhU9b75oRw=="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2020-01-17T20:37:09Z</dcterms:modified>
</cp:coreProperties>
</file>