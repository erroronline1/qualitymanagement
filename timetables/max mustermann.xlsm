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352" codeName="{3D1A710C-6663-3D7B-7F91-EC182F24A4BC}"/>
  <workbookPr codeName="DieseArbeitsmappe" defaultThemeVersion="124226"/>
  <mc:AlternateContent xmlns:mc="http://schemas.openxmlformats.org/markup-compatibility/2006">
    <mc:Choice Requires="x15">
      <x15ac:absPath xmlns:x15ac="http://schemas.microsoft.com/office/spreadsheetml/2010/11/ac" url="N:\qm\aqms\timetables\"/>
    </mc:Choice>
  </mc:AlternateContent>
  <xr:revisionPtr revIDLastSave="0" documentId="13_ncr:1_{0A02EABB-2BA2-4EE9-B59E-838417568ECD}" xr6:coauthVersionLast="36" xr6:coauthVersionMax="36" xr10:uidLastSave="{00000000-0000-0000-0000-000000000000}"/>
  <bookViews>
    <workbookView xWindow="0" yWindow="0" windowWidth="13500" windowHeight="9555" firstSheet="1" activeTab="2" xr2:uid="{00000000-000D-0000-FFFF-FFFF00000000}"/>
  </bookViews>
  <sheets>
    <sheet name="settings" sheetId="15" state="veryHidden" r:id="rId1"/>
    <sheet name="info" sheetId="11" r:id="rId2"/>
    <sheet name="M01.2020" sheetId="6" r:id="rId3"/>
  </sheets>
  <functionGroups builtInGroupCount="19"/>
  <definedNames>
    <definedName name="absence">info!$A$10:$A$17</definedName>
    <definedName name="_xlnm.Print_Area" localSheetId="2">'M01.2020'!$A$1:$I$52</definedName>
  </definedNames>
  <calcPr calcId="191029"/>
</workbook>
</file>

<file path=xl/calcChain.xml><?xml version="1.0" encoding="utf-8"?>
<calcChain xmlns="http://schemas.openxmlformats.org/spreadsheetml/2006/main">
  <c r="G41" i="6" l="1"/>
  <c r="F41" i="6" s="1"/>
  <c r="G40" i="6"/>
  <c r="F40" i="6" s="1"/>
  <c r="G39" i="6"/>
  <c r="F39" i="6" s="1"/>
  <c r="G38" i="6"/>
  <c r="F38" i="6" s="1"/>
  <c r="G37" i="6"/>
  <c r="F37" i="6" s="1"/>
  <c r="G36" i="6"/>
  <c r="F36" i="6" s="1"/>
  <c r="G35" i="6"/>
  <c r="F35" i="6" s="1"/>
  <c r="G34" i="6"/>
  <c r="F34" i="6" s="1"/>
  <c r="G33" i="6"/>
  <c r="F33" i="6"/>
  <c r="G32" i="6"/>
  <c r="F32" i="6" s="1"/>
  <c r="G31" i="6"/>
  <c r="F31" i="6" s="1"/>
  <c r="G30" i="6"/>
  <c r="F30" i="6" s="1"/>
  <c r="G29" i="6"/>
  <c r="F29" i="6" s="1"/>
  <c r="G28" i="6"/>
  <c r="F28" i="6" s="1"/>
  <c r="G27" i="6"/>
  <c r="F27" i="6" s="1"/>
  <c r="G26" i="6"/>
  <c r="F26" i="6" s="1"/>
  <c r="G25" i="6"/>
  <c r="F25" i="6" s="1"/>
  <c r="G24" i="6"/>
  <c r="F24" i="6" s="1"/>
  <c r="G23" i="6"/>
  <c r="F23" i="6"/>
  <c r="G22" i="6"/>
  <c r="F22" i="6" s="1"/>
  <c r="G21" i="6"/>
  <c r="F21" i="6" s="1"/>
  <c r="G20" i="6"/>
  <c r="F20" i="6" s="1"/>
  <c r="G19" i="6"/>
  <c r="F19" i="6" s="1"/>
  <c r="G18" i="6"/>
  <c r="F18" i="6" s="1"/>
  <c r="G17" i="6"/>
  <c r="F17" i="6" s="1"/>
  <c r="G16" i="6"/>
  <c r="F16" i="6" s="1"/>
  <c r="G15" i="6"/>
  <c r="F15" i="6" s="1"/>
  <c r="G14" i="6"/>
  <c r="F14" i="6" s="1"/>
  <c r="G13" i="6"/>
  <c r="F13" i="6" s="1"/>
  <c r="G12" i="6"/>
  <c r="F12" i="6" s="1"/>
  <c r="G11" i="6"/>
  <c r="F11" i="6" s="1"/>
  <c r="A11" i="6"/>
  <c r="B11" i="6" s="1"/>
  <c r="H40" i="6"/>
  <c r="H30" i="6"/>
  <c r="H22" i="6"/>
  <c r="H11" i="6"/>
  <c r="H20" i="6"/>
  <c r="H37" i="6"/>
  <c r="H35" i="6"/>
  <c r="H29" i="6"/>
  <c r="H17" i="6"/>
  <c r="H21" i="6"/>
  <c r="H23" i="6"/>
  <c r="H33" i="6"/>
  <c r="H14" i="6"/>
  <c r="D6" i="6"/>
  <c r="D8" i="6"/>
  <c r="H18" i="6"/>
  <c r="H28" i="6"/>
  <c r="C11" i="6"/>
  <c r="H31" i="6"/>
  <c r="H38" i="6"/>
  <c r="H24" i="6"/>
  <c r="H41" i="6"/>
  <c r="H13" i="6"/>
  <c r="H25" i="6"/>
  <c r="C12" i="6"/>
  <c r="D45" i="6"/>
  <c r="H32" i="6"/>
  <c r="H19" i="6"/>
  <c r="H36" i="6"/>
  <c r="H27" i="6"/>
  <c r="H39" i="6"/>
  <c r="H26" i="6"/>
  <c r="H34" i="6"/>
  <c r="C13" i="6"/>
  <c r="H12" i="6"/>
  <c r="H16" i="6"/>
  <c r="H15" i="6"/>
  <c r="A12" i="6" l="1"/>
  <c r="A13" i="6" s="1"/>
  <c r="B13" i="6" s="1"/>
  <c r="D46" i="6"/>
  <c r="D7" i="6"/>
  <c r="H43" i="6"/>
  <c r="C14" i="6"/>
  <c r="H44" i="6" l="1"/>
  <c r="H47" i="6" s="1"/>
  <c r="A14" i="6"/>
  <c r="B14" i="6" s="1"/>
  <c r="B12" i="6"/>
  <c r="C15" i="6"/>
  <c r="A15" i="6" l="1"/>
  <c r="A16" i="6" s="1"/>
  <c r="C16" i="6"/>
  <c r="B15" i="6" l="1"/>
  <c r="A17" i="6"/>
  <c r="B16" i="6"/>
  <c r="C17" i="6"/>
  <c r="B17" i="6" l="1"/>
  <c r="A18" i="6"/>
  <c r="C18" i="6"/>
  <c r="A19" i="6" l="1"/>
  <c r="B18" i="6"/>
  <c r="C19" i="6"/>
  <c r="B19" i="6" l="1"/>
  <c r="A20" i="6"/>
  <c r="C20" i="6"/>
  <c r="A21" i="6" l="1"/>
  <c r="B20" i="6"/>
  <c r="C21" i="6"/>
  <c r="B21" i="6" l="1"/>
  <c r="A22" i="6"/>
  <c r="C22" i="6"/>
  <c r="A23" i="6" l="1"/>
  <c r="B22" i="6"/>
  <c r="C23" i="6"/>
  <c r="B23" i="6" l="1"/>
  <c r="A24" i="6"/>
  <c r="C24" i="6"/>
  <c r="A25" i="6" l="1"/>
  <c r="B24" i="6"/>
  <c r="C25" i="6"/>
  <c r="B25" i="6" l="1"/>
  <c r="A26" i="6"/>
  <c r="C26" i="6"/>
  <c r="A27" i="6" l="1"/>
  <c r="B26" i="6"/>
  <c r="C27" i="6"/>
  <c r="B27" i="6" l="1"/>
  <c r="A28" i="6"/>
  <c r="C28" i="6"/>
  <c r="A29" i="6" l="1"/>
  <c r="B28" i="6"/>
  <c r="C29" i="6"/>
  <c r="B29" i="6" l="1"/>
  <c r="A30" i="6"/>
  <c r="C30" i="6"/>
  <c r="A31" i="6" l="1"/>
  <c r="B30" i="6"/>
  <c r="C31" i="6"/>
  <c r="B31" i="6" l="1"/>
  <c r="A32" i="6"/>
  <c r="C32" i="6"/>
  <c r="A33" i="6" l="1"/>
  <c r="B32" i="6"/>
  <c r="C33" i="6"/>
  <c r="B33" i="6" l="1"/>
  <c r="A34" i="6"/>
  <c r="C34" i="6"/>
  <c r="A35" i="6" l="1"/>
  <c r="B34" i="6"/>
  <c r="C35" i="6"/>
  <c r="B35" i="6" l="1"/>
  <c r="A36" i="6"/>
  <c r="C36" i="6"/>
  <c r="A37" i="6" l="1"/>
  <c r="B36" i="6"/>
  <c r="C37" i="6"/>
  <c r="B37" i="6" l="1"/>
  <c r="A38" i="6"/>
  <c r="C38" i="6"/>
  <c r="A39" i="6" l="1"/>
  <c r="B38" i="6"/>
  <c r="C39" i="6"/>
  <c r="B39" i="6" l="1"/>
  <c r="A40" i="6"/>
  <c r="C40" i="6"/>
  <c r="A41" i="6" l="1"/>
  <c r="B40" i="6"/>
  <c r="C41" i="6"/>
  <c r="B41" i="6" l="1"/>
  <c r="A7" i="11" l="1"/>
</calcChain>
</file>

<file path=xl/sharedStrings.xml><?xml version="1.0" encoding="utf-8"?>
<sst xmlns="http://schemas.openxmlformats.org/spreadsheetml/2006/main" count="50" uniqueCount="49">
  <si>
    <t>Name, Vorname</t>
  </si>
  <si>
    <t>Wochenarbeitszeit</t>
  </si>
  <si>
    <t>Datum</t>
  </si>
  <si>
    <t>Beginn</t>
  </si>
  <si>
    <t>Ende</t>
  </si>
  <si>
    <t>Arbeitszeit</t>
  </si>
  <si>
    <t>PlusMinus</t>
  </si>
  <si>
    <t>Nettoarbeitstage</t>
  </si>
  <si>
    <t>rechnerische TagesAZ</t>
  </si>
  <si>
    <t>rechnerische MonatsAZ</t>
  </si>
  <si>
    <t>Übertrag Vormonat</t>
  </si>
  <si>
    <t>Gesamt</t>
  </si>
  <si>
    <t>Urlaub</t>
  </si>
  <si>
    <t>Summe</t>
  </si>
  <si>
    <t>Resturlaub</t>
  </si>
  <si>
    <t>Bereich</t>
  </si>
  <si>
    <t>Krank</t>
  </si>
  <si>
    <t>Feiertag</t>
  </si>
  <si>
    <t>Dienstreise</t>
  </si>
  <si>
    <t>Anmerkung</t>
  </si>
  <si>
    <t>Unterschrift Mitarbeiter</t>
  </si>
  <si>
    <t>Unterschrift Vorgesetzter</t>
  </si>
  <si>
    <t>Korrekturwert</t>
  </si>
  <si>
    <t>Liste von Freistellungen zur Korrektur der errechneten Monatsarbeitszeit</t>
  </si>
  <si>
    <t>Elternzeit</t>
  </si>
  <si>
    <t>Frei</t>
  </si>
  <si>
    <t>Für die abschließende Richtigkeit der Angaben ist der Mitarbeiter verantwortlich.</t>
  </si>
  <si>
    <t>Arbeitszeitaufstellung für</t>
  </si>
  <si>
    <t>Jahresurlaub</t>
  </si>
  <si>
    <t>Rest Vormonat</t>
  </si>
  <si>
    <t>Tag</t>
  </si>
  <si>
    <t>userpass</t>
  </si>
  <si>
    <t>masterpass</t>
  </si>
  <si>
    <t>Stunden</t>
  </si>
  <si>
    <t>Frühstück</t>
  </si>
  <si>
    <t>Mittag</t>
  </si>
  <si>
    <r>
      <rPr>
        <b/>
        <sz val="11"/>
        <color theme="1"/>
        <rFont val="Calibri"/>
        <family val="2"/>
        <scheme val="minor"/>
      </rPr>
      <t xml:space="preserve">MANIPULATIONSSCHUTZ:
</t>
    </r>
    <r>
      <rPr>
        <sz val="11"/>
        <color theme="1"/>
        <rFont val="Calibri"/>
        <family val="2"/>
        <scheme val="minor"/>
      </rPr>
      <t>Die Eingabe ist kennwortgeschützt. Bei Erstnutzung wird zur Vergabe eines persönlichen Kennworts aufgefordert. Dieses kann jederzeit geändert werden. Sollte das bekannte Kennwort unerwarteter Weise nicht mehr akzeptiert werden oder keine Aufforderung zur Eingabe erfolgen liegt der Verdacht auf Manipulation nahe und sollte detailliert geprüft werden.
Vorschläge zu Kennwörtern findest du unter:</t>
    </r>
  </si>
  <si>
    <r>
      <rPr>
        <b/>
        <sz val="11"/>
        <color theme="1"/>
        <rFont val="Calibri"/>
        <family val="2"/>
        <scheme val="minor"/>
      </rPr>
      <t xml:space="preserve">ALLGEMEINE INFORMATION:
</t>
    </r>
    <r>
      <rPr>
        <sz val="11"/>
        <color theme="1"/>
        <rFont val="Calibri"/>
        <family val="2"/>
        <scheme val="minor"/>
      </rPr>
      <t xml:space="preserve">Diese Datei dient der Erfassung der Arbeitszeit. Die Bearbeitung ist eingeschränkt.
Überträge von Arbeitszeiten und Urlauben werden automatisch in das nächste Blatt übernommen. Mit Beginn eines neuen Monats wird das nächste Blatt automatisch ergänzt. Die Namen und Reihenfolge der Tabellenblätter dürfen nicht verändert werden. Wochenend-übergreifende Freistellungen/Feiertage werden nicht berücksichtigt. Bei der ersten Nutzung wird die Tabelle für den laufenden Monat initialisiert. Es kann erforderlich sein die Makrofunktion zunächst aktivieren zu müssen, wenn das Dokument im geschützten Modus startet.
</t>
    </r>
  </si>
  <si>
    <r>
      <rPr>
        <b/>
        <sz val="11"/>
        <color theme="1"/>
        <rFont val="Calibri"/>
        <family val="2"/>
        <scheme val="minor"/>
      </rPr>
      <t>PROFITIPP:</t>
    </r>
    <r>
      <rPr>
        <sz val="11"/>
        <color theme="1"/>
        <rFont val="Calibri"/>
        <family val="2"/>
        <scheme val="minor"/>
      </rPr>
      <t xml:space="preserve">
Die Eingabe der Uhrzeiten erfordert einen Doppelpunkt als Trennzeichen. Mit folgenen lokalen Einstellungen in Excel ist eine schnelle Eingabe über den Nummernblock möglich:
Datei -&gt; Optionen -&gt; Dokumentprüfung -&gt;Autokorrektur-Optionen
Häkchen bei "Während der Eingabe ersetzen"
Ersetze ,, durch :
und Hinzufügen</t>
    </r>
  </si>
  <si>
    <r>
      <rPr>
        <b/>
        <sz val="11"/>
        <color theme="1"/>
        <rFont val="Calibri"/>
        <family val="2"/>
        <scheme val="minor"/>
      </rPr>
      <t>URLAUBSHINWEIS:</t>
    </r>
    <r>
      <rPr>
        <sz val="11"/>
        <color theme="1"/>
        <rFont val="Calibri"/>
        <family val="2"/>
        <scheme val="minor"/>
      </rPr>
      <t xml:space="preserve">
Einmal monatlich gibt es einen Hinweis, sofern noch signifikant viele Urlaubstage zu planen sind.
Es werden automatisch die gesetzlich vorgeschriebenen Pausenzeiten (Arbeitszeitgesetz (ArbZG) § 4) abgezogen sofern keine anderslautenden Pausenzeiten angegeben werden. Pausen gelten als solche erst ab einer Zeit von 15 Minuten. Zu geringe oder falsche Werte werden farblich markiert und korrigiert abgezogen. Die Frühstückspause wird mit mindestens 15 Minuten, die Mittagspause mit mindestens 30 Minuten berechnet.</t>
    </r>
  </si>
  <si>
    <t>rohgezimmert.umgebundenChefdenkerbauseitig</t>
  </si>
  <si>
    <t>Berufsschule</t>
  </si>
  <si>
    <t>siehe Anmerkung</t>
  </si>
  <si>
    <r>
      <rPr>
        <b/>
        <sz val="11"/>
        <color theme="1"/>
        <rFont val="Calibri"/>
        <family val="2"/>
        <scheme val="minor"/>
      </rPr>
      <t xml:space="preserve">ZUGELASSENE ÄNDERUNGEN:
</t>
    </r>
    <r>
      <rPr>
        <sz val="11"/>
        <color theme="1"/>
        <rFont val="Calibri"/>
        <family val="2"/>
        <scheme val="minor"/>
      </rPr>
      <t xml:space="preserve">Änderungen sind möglich für:
Name (Namensänderungen)
Bereich (Bereichswechsel)
Wochenarbeitzeit (Arbeitszeitänderungen)
Jahresgesamturlaubsanspruch (Arbeitszeitänderungen, unterjähriger Ein- oder Austritt)
Arbeitszeitkorrektur (Auszahlung von Überstunden - Freizeitausgleich hat Priorität!)
Krank/Urlaub/Feiertag/etc.
Dienstbeginn und -ende
angepasste Pausenzeiten
Bemerkungen (z.B. Begründung für deutliche Überzeit oder Freizeitausgleich)
</t>
    </r>
  </si>
  <si>
    <r>
      <rPr>
        <b/>
        <sz val="11"/>
        <color theme="1"/>
        <rFont val="Calibri"/>
        <family val="2"/>
        <scheme val="minor"/>
      </rPr>
      <t>HINWEIS:</t>
    </r>
    <r>
      <rPr>
        <sz val="11"/>
        <color theme="1"/>
        <rFont val="Calibri"/>
        <family val="2"/>
        <scheme val="minor"/>
      </rPr>
      <t xml:space="preserve">
Bitte berücksichtigen, dass Urlaubseinträge an Feiertagen als Urlaub abgezogen werden. Hier muss der Eintrag korrekt erfolgen. Feiertage werden in neuen Blättern automatisch voreingetragen. Wird das Eingabefeld jedoch gelöscht ist auch die Formel weg und der Feiertag muss ggf. manuell korrigiert werden. Feiertags- und Wochenend-Zuschläge finden keine Berücksichtigung. Bei Eintritt innerhalb eines Monats muss die Wochenarbeitszeit vermmittelt werden.</t>
    </r>
  </si>
  <si>
    <t>Arbeitstage</t>
  </si>
  <si>
    <t>Mo, Di, Mi, Do, Fr</t>
  </si>
  <si>
    <t>(Mo - So, Abkürzung wie in Tag, kommagetrennt, sofern zutreffend)</t>
  </si>
  <si>
    <t>persistent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</si>
</sst>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0.00_ ;[Red]\-0.00\ "/>
  </numFmts>
  <fonts count="10"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MetaNormal-Roman"/>
      <family val="2"/>
    </font>
    <font>
      <sz val="11"/>
      <color theme="0" tint="-0.499984740745262"/>
      <name val="MetaNormal-Roman"/>
      <family val="2"/>
    </font>
    <font>
      <b/>
      <sz val="11"/>
      <color theme="1"/>
      <name val="MetaNormal-Roman"/>
      <family val="2"/>
    </font>
    <font>
      <sz val="11"/>
      <color theme="0" tint="-0.34998626667073579"/>
      <name val="MetaNormal-Roman"/>
      <family val="2"/>
    </font>
    <font>
      <sz val="14"/>
      <color theme="1"/>
      <name val="MetaNormal-Roman"/>
      <family val="2"/>
    </font>
    <font>
      <b/>
      <sz val="14"/>
      <color theme="1"/>
      <name val="MetaNormal-Roman"/>
      <family val="2"/>
    </font>
    <font>
      <sz val="8"/>
      <color theme="0" tint="-0.499984740745262"/>
      <name val="MetaNormal-Roman"/>
      <family val="2"/>
    </font>
  </fonts>
  <fills count="2">
    <fill>
      <patternFill patternType="none"/>
    </fill>
    <fill>
      <patternFill patternType="gray125"/>
    </fill>
  </fills>
  <borders count="8">
    <border>
      <left/>
      <right/>
      <top/>
      <bottom/>
      <diagonal/>
    </border>
    <border>
      <left style="thin">
        <color rgb="FF00B050"/>
      </left>
      <right/>
      <top style="thin">
        <color rgb="FF00B050"/>
      </top>
      <bottom/>
      <diagonal/>
    </border>
    <border>
      <left style="thin">
        <color rgb="FF00B050"/>
      </left>
      <right/>
      <top/>
      <bottom/>
      <diagonal/>
    </border>
    <border>
      <left style="thin">
        <color rgb="FF00B050"/>
      </left>
      <right/>
      <top/>
      <bottom style="thin">
        <color rgb="FF00B050"/>
      </bottom>
      <diagonal/>
    </border>
    <border>
      <left/>
      <right style="thin">
        <color rgb="FFFF0000"/>
      </right>
      <top style="thin">
        <color rgb="FFFF0000"/>
      </top>
      <bottom/>
      <diagonal/>
    </border>
    <border>
      <left/>
      <right style="thin">
        <color rgb="FFFF0000"/>
      </right>
      <top/>
      <bottom/>
      <diagonal/>
    </border>
    <border>
      <left/>
      <right style="thin">
        <color rgb="FFFF0000"/>
      </right>
      <top/>
      <bottom style="thin">
        <color rgb="FFFF0000"/>
      </bottom>
      <diagonal/>
    </border>
    <border>
      <left/>
      <right/>
      <top/>
      <bottom style="thin">
        <color indexed="64"/>
      </bottom>
      <diagonal/>
    </border>
  </borders>
  <cellStyleXfs count="2">
    <xf numFmtId="0" fontId="0" fillId="0" borderId="0"/>
    <xf numFmtId="0" fontId="2" fillId="0" borderId="0" applyNumberFormat="0" applyFill="0" applyBorder="0" applyAlignment="0" applyProtection="0"/>
  </cellStyleXfs>
  <cellXfs count="48">
    <xf numFmtId="0" fontId="0" fillId="0" borderId="0" xfId="0"/>
    <xf numFmtId="16" fontId="0" fillId="0" borderId="0" xfId="0" applyNumberFormat="1"/>
    <xf numFmtId="0" fontId="1" fillId="0" borderId="0" xfId="0" applyFont="1"/>
    <xf numFmtId="22" fontId="0" fillId="0" borderId="0" xfId="0" applyNumberFormat="1"/>
    <xf numFmtId="0" fontId="3" fillId="0" borderId="0" xfId="0" applyFont="1"/>
    <xf numFmtId="0" fontId="3" fillId="0" borderId="0" xfId="0" applyFont="1" applyBorder="1"/>
    <xf numFmtId="0" fontId="4" fillId="0" borderId="0" xfId="0" applyFont="1"/>
    <xf numFmtId="2" fontId="3" fillId="0" borderId="0" xfId="0" applyNumberFormat="1" applyFont="1"/>
    <xf numFmtId="165" fontId="5" fillId="0" borderId="0" xfId="0" applyNumberFormat="1" applyFont="1"/>
    <xf numFmtId="14" fontId="3" fillId="0" borderId="0" xfId="0" applyNumberFormat="1" applyFont="1"/>
    <xf numFmtId="0" fontId="3" fillId="0" borderId="0" xfId="0" applyFont="1" applyProtection="1">
      <protection locked="0"/>
    </xf>
    <xf numFmtId="164" fontId="3" fillId="0" borderId="1" xfId="0" applyNumberFormat="1" applyFont="1" applyFill="1" applyBorder="1" applyProtection="1">
      <protection locked="0"/>
    </xf>
    <xf numFmtId="164" fontId="3" fillId="0" borderId="4" xfId="0" applyNumberFormat="1" applyFont="1" applyFill="1" applyBorder="1" applyProtection="1">
      <protection locked="0"/>
    </xf>
    <xf numFmtId="164" fontId="3" fillId="0" borderId="0" xfId="0" applyNumberFormat="1" applyFont="1"/>
    <xf numFmtId="164" fontId="3" fillId="0" borderId="2" xfId="0" applyNumberFormat="1" applyFont="1" applyFill="1" applyBorder="1" applyProtection="1">
      <protection locked="0"/>
    </xf>
    <xf numFmtId="164" fontId="3" fillId="0" borderId="5" xfId="0" applyNumberFormat="1" applyFont="1" applyFill="1" applyBorder="1" applyProtection="1">
      <protection locked="0"/>
    </xf>
    <xf numFmtId="164" fontId="3" fillId="0" borderId="3" xfId="0" applyNumberFormat="1" applyFont="1" applyFill="1" applyBorder="1" applyProtection="1">
      <protection locked="0"/>
    </xf>
    <xf numFmtId="164" fontId="3" fillId="0" borderId="6" xfId="0" applyNumberFormat="1" applyFont="1" applyFill="1" applyBorder="1" applyProtection="1">
      <protection locked="0"/>
    </xf>
    <xf numFmtId="14" fontId="3" fillId="0" borderId="0" xfId="0" applyNumberFormat="1" applyFont="1" applyFill="1"/>
    <xf numFmtId="0" fontId="3" fillId="0" borderId="0" xfId="0" applyFont="1" applyFill="1"/>
    <xf numFmtId="164" fontId="3" fillId="0" borderId="0" xfId="0" applyNumberFormat="1" applyFont="1" applyFill="1"/>
    <xf numFmtId="0" fontId="3" fillId="0" borderId="0" xfId="0" applyFont="1" applyFill="1" applyProtection="1">
      <protection locked="0"/>
    </xf>
    <xf numFmtId="0" fontId="3" fillId="0" borderId="0" xfId="0" applyFont="1" applyBorder="1" applyProtection="1">
      <protection locked="0"/>
    </xf>
    <xf numFmtId="165" fontId="3" fillId="0" borderId="0" xfId="0" applyNumberFormat="1" applyFont="1"/>
    <xf numFmtId="165" fontId="3" fillId="0" borderId="0" xfId="0" applyNumberFormat="1" applyFont="1" applyProtection="1">
      <protection locked="0"/>
    </xf>
    <xf numFmtId="0" fontId="6" fillId="0" borderId="7" xfId="0" applyFont="1" applyBorder="1"/>
    <xf numFmtId="0" fontId="3" fillId="0" borderId="7" xfId="0" applyFont="1" applyBorder="1"/>
    <xf numFmtId="0" fontId="7" fillId="0" borderId="0" xfId="0" applyFont="1"/>
    <xf numFmtId="14" fontId="8" fillId="0" borderId="0" xfId="0" applyNumberFormat="1" applyFont="1"/>
    <xf numFmtId="0" fontId="8" fillId="0" borderId="0" xfId="0" applyFont="1" applyProtection="1"/>
    <xf numFmtId="0" fontId="7" fillId="0" borderId="0" xfId="0" applyFont="1" applyBorder="1"/>
    <xf numFmtId="0" fontId="0" fillId="0" borderId="0" xfId="0" applyAlignment="1">
      <alignment vertical="top" wrapText="1"/>
    </xf>
    <xf numFmtId="0" fontId="2" fillId="0" borderId="0" xfId="1" applyAlignment="1">
      <alignment vertical="top" wrapText="1"/>
    </xf>
    <xf numFmtId="16" fontId="0" fillId="0" borderId="0" xfId="0" applyNumberFormat="1" applyAlignment="1">
      <alignment horizontal="left"/>
    </xf>
    <xf numFmtId="0" fontId="0" fillId="0" borderId="0" xfId="0" applyAlignment="1">
      <alignment horizontal="left"/>
    </xf>
    <xf numFmtId="0" fontId="0" fillId="0" borderId="0" xfId="0"/>
    <xf numFmtId="0" fontId="3" fillId="0" borderId="0" xfId="0" applyFont="1" applyAlignment="1">
      <alignment horizontal="left"/>
    </xf>
    <xf numFmtId="0" fontId="4" fillId="0" borderId="0" xfId="0" applyFont="1" applyFill="1"/>
    <xf numFmtId="0" fontId="9" fillId="0" borderId="0" xfId="0" applyFont="1"/>
    <xf numFmtId="0" fontId="3" fillId="0" borderId="0" xfId="0" applyNumberFormat="1" applyFont="1"/>
    <xf numFmtId="0" fontId="0" fillId="0" borderId="0" xfId="0" applyAlignment="1">
      <alignment horizontal="left" vertical="top" wrapText="1"/>
    </xf>
    <xf numFmtId="0" fontId="2" fillId="0" borderId="0" xfId="1"/>
    <xf numFmtId="0" fontId="0" fillId="0" borderId="0" xfId="0"/>
    <xf numFmtId="0" fontId="3" fillId="0" borderId="0" xfId="0" applyFont="1" applyAlignment="1">
      <alignment horizontal="left"/>
    </xf>
    <xf numFmtId="0" fontId="7" fillId="0" borderId="0" xfId="0" applyFont="1" applyBorder="1" applyAlignment="1" applyProtection="1">
      <alignment horizontal="left"/>
      <protection locked="0"/>
    </xf>
    <xf numFmtId="0" fontId="3" fillId="0" borderId="0" xfId="0" applyFont="1" applyBorder="1" applyAlignment="1" applyProtection="1">
      <alignment horizontal="left"/>
      <protection locked="0"/>
    </xf>
    <xf numFmtId="0" fontId="3" fillId="0" borderId="0" xfId="0" applyFont="1" applyFill="1" applyAlignment="1">
      <alignment horizontal="left" vertical="top"/>
    </xf>
    <xf numFmtId="0" fontId="3" fillId="0" borderId="0" xfId="0" applyFont="1" applyAlignment="1">
      <alignment horizontal="left" vertical="top"/>
    </xf>
  </cellXfs>
  <cellStyles count="2">
    <cellStyle name="Link" xfId="1" builtinId="8"/>
    <cellStyle name="Standard" xfId="0" builtinId="0"/>
  </cellStyles>
  <dxfs count="3">
    <dxf>
      <font>
        <color rgb="FFFFC000"/>
      </font>
    </dxf>
    <dxf>
      <fill>
        <patternFill>
          <bgColor theme="5" tint="0.59996337778862885"/>
        </patternFill>
      </fill>
    </dxf>
    <dxf>
      <fill>
        <patternFill>
          <bgColor theme="0" tint="-0.24994659260841701"/>
        </patternFill>
      </fill>
    </dxf>
  </dxfs>
  <tableStyles count="0" defaultTableStyle="TableStyleMedium2" defaultPivotStyle="PivotStyleMedium9"/>
  <colors>
    <mruColors>
      <color rgb="FFFFCCFF"/>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0"/>
  <dimension ref="A1:C6"/>
  <sheetViews>
    <sheetView workbookViewId="0">
      <selection activeCell="B1" sqref="B1"/>
    </sheetView>
  </sheetViews>
  <sheetFormatPr baseColWidth="10" defaultRowHeight="15" x14ac:dyDescent="0.25"/>
  <cols>
    <col min="3" max="3" width="17" customWidth="1"/>
  </cols>
  <sheetData>
    <row r="1" spans="1:3" x14ac:dyDescent="0.25">
      <c r="A1" t="s">
        <v>32</v>
      </c>
      <c r="B1" t="s">
        <v>40</v>
      </c>
    </row>
    <row r="2" spans="1:3" x14ac:dyDescent="0.25">
      <c r="A2" t="s">
        <v>48</v>
      </c>
      <c r="B2">
        <v>0</v>
      </c>
      <c r="C2">
        <v>0</v>
      </c>
    </row>
    <row r="3" spans="1:3" x14ac:dyDescent="0.25">
      <c r="A3" t="s">
        <v>31</v>
      </c>
      <c r="C3" s="3"/>
    </row>
    <row r="4" spans="1:3" x14ac:dyDescent="0.25">
      <c r="C4" s="3"/>
    </row>
    <row r="5" spans="1:3" x14ac:dyDescent="0.25">
      <c r="C5" s="3"/>
    </row>
    <row r="6" spans="1:3" x14ac:dyDescent="0.25">
      <c r="C6" s="3"/>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dimension ref="A1:K34"/>
  <sheetViews>
    <sheetView zoomScale="130" zoomScaleNormal="130" workbookViewId="0">
      <selection sqref="A1:F1"/>
    </sheetView>
  </sheetViews>
  <sheetFormatPr baseColWidth="10" defaultRowHeight="15" x14ac:dyDescent="0.25"/>
  <cols>
    <col min="1" max="1" width="22" customWidth="1"/>
  </cols>
  <sheetData>
    <row r="1" spans="1:11" ht="139.5" customHeight="1" x14ac:dyDescent="0.25">
      <c r="A1" s="40" t="s">
        <v>37</v>
      </c>
      <c r="B1" s="40"/>
      <c r="C1" s="40"/>
      <c r="D1" s="40"/>
      <c r="E1" s="40"/>
      <c r="F1" s="40"/>
      <c r="G1" s="31"/>
      <c r="H1" s="31"/>
      <c r="I1" s="31"/>
      <c r="J1" s="31"/>
      <c r="K1" s="31"/>
    </row>
    <row r="2" spans="1:11" ht="113.25" customHeight="1" x14ac:dyDescent="0.25">
      <c r="A2" s="40" t="s">
        <v>44</v>
      </c>
      <c r="B2" s="40"/>
      <c r="C2" s="40"/>
      <c r="D2" s="40"/>
      <c r="E2" s="40"/>
      <c r="F2" s="40"/>
      <c r="G2" s="31"/>
      <c r="H2" s="31"/>
      <c r="I2" s="31"/>
      <c r="J2" s="31"/>
      <c r="K2" s="31"/>
    </row>
    <row r="3" spans="1:11" ht="125.25" customHeight="1" x14ac:dyDescent="0.25">
      <c r="A3" s="40" t="s">
        <v>38</v>
      </c>
      <c r="B3" s="40"/>
      <c r="C3" s="40"/>
      <c r="D3" s="40"/>
      <c r="E3" s="40"/>
      <c r="F3" s="40"/>
      <c r="G3" s="31"/>
      <c r="H3" s="31"/>
      <c r="I3" s="31"/>
      <c r="J3" s="31"/>
      <c r="K3" s="31"/>
    </row>
    <row r="4" spans="1:11" ht="170.25" customHeight="1" x14ac:dyDescent="0.25">
      <c r="A4" s="40" t="s">
        <v>43</v>
      </c>
      <c r="B4" s="40"/>
      <c r="C4" s="40"/>
      <c r="D4" s="40"/>
      <c r="E4" s="40"/>
      <c r="F4" s="40"/>
      <c r="G4" s="31"/>
      <c r="H4" s="31"/>
      <c r="I4" s="31"/>
      <c r="J4" s="31"/>
      <c r="K4" s="31"/>
    </row>
    <row r="5" spans="1:11" ht="124.5" customHeight="1" x14ac:dyDescent="0.25">
      <c r="A5" s="40" t="s">
        <v>39</v>
      </c>
      <c r="B5" s="40"/>
      <c r="C5" s="40"/>
      <c r="D5" s="40"/>
      <c r="E5" s="40"/>
      <c r="F5" s="40"/>
      <c r="G5" s="31"/>
      <c r="H5" s="31"/>
      <c r="I5" s="31"/>
      <c r="J5" s="31"/>
      <c r="K5" s="31"/>
    </row>
    <row r="6" spans="1:11" ht="122.65" customHeight="1" x14ac:dyDescent="0.25">
      <c r="A6" s="40" t="s">
        <v>36</v>
      </c>
      <c r="B6" s="40"/>
      <c r="C6" s="40"/>
      <c r="D6" s="40"/>
      <c r="E6" s="40"/>
      <c r="F6" s="40"/>
      <c r="G6" s="31"/>
      <c r="H6" s="31"/>
      <c r="I6" s="31"/>
      <c r="J6" s="31"/>
      <c r="K6" s="31"/>
    </row>
    <row r="7" spans="1:11" ht="16.5" customHeight="1" x14ac:dyDescent="0.25">
      <c r="A7" s="41" t="str">
        <f>HYPERLINK("http://erroronline.one/column3/passwort.php")</f>
        <v>http://erroronline.one/column3/passwort.php</v>
      </c>
      <c r="B7" s="42"/>
      <c r="C7" s="42"/>
      <c r="D7" s="42"/>
      <c r="E7" s="42"/>
      <c r="F7" s="42"/>
      <c r="G7" s="32"/>
      <c r="H7" s="32"/>
      <c r="I7" s="32"/>
      <c r="J7" s="32"/>
      <c r="K7" s="32"/>
    </row>
    <row r="8" spans="1:11" ht="23.25" customHeight="1" x14ac:dyDescent="0.25"/>
    <row r="9" spans="1:11" x14ac:dyDescent="0.25">
      <c r="A9" s="2" t="s">
        <v>23</v>
      </c>
    </row>
    <row r="10" spans="1:11" x14ac:dyDescent="0.25">
      <c r="A10" s="2"/>
    </row>
    <row r="11" spans="1:11" x14ac:dyDescent="0.25">
      <c r="A11" t="s">
        <v>16</v>
      </c>
    </row>
    <row r="12" spans="1:11" x14ac:dyDescent="0.25">
      <c r="A12" t="s">
        <v>12</v>
      </c>
    </row>
    <row r="13" spans="1:11" x14ac:dyDescent="0.25">
      <c r="A13" t="s">
        <v>17</v>
      </c>
    </row>
    <row r="14" spans="1:11" x14ac:dyDescent="0.25">
      <c r="A14" t="s">
        <v>41</v>
      </c>
    </row>
    <row r="15" spans="1:11" x14ac:dyDescent="0.25">
      <c r="A15" t="s">
        <v>18</v>
      </c>
    </row>
    <row r="16" spans="1:11" s="35" customFormat="1" x14ac:dyDescent="0.25">
      <c r="A16" s="35" t="s">
        <v>24</v>
      </c>
    </row>
    <row r="17" spans="1:2" x14ac:dyDescent="0.25">
      <c r="A17" t="s">
        <v>42</v>
      </c>
    </row>
    <row r="19" spans="1:2" x14ac:dyDescent="0.25">
      <c r="A19" s="2"/>
    </row>
    <row r="20" spans="1:2" x14ac:dyDescent="0.25">
      <c r="A20" s="1"/>
      <c r="B20" s="33"/>
    </row>
    <row r="21" spans="1:2" x14ac:dyDescent="0.25">
      <c r="A21" s="1"/>
      <c r="B21" s="33"/>
    </row>
    <row r="22" spans="1:2" x14ac:dyDescent="0.25">
      <c r="B22" s="34"/>
    </row>
    <row r="23" spans="1:2" x14ac:dyDescent="0.25">
      <c r="B23" s="34"/>
    </row>
    <row r="24" spans="1:2" x14ac:dyDescent="0.25">
      <c r="B24" s="33"/>
    </row>
    <row r="25" spans="1:2" x14ac:dyDescent="0.25">
      <c r="B25" s="34"/>
    </row>
    <row r="26" spans="1:2" x14ac:dyDescent="0.25">
      <c r="B26" s="34"/>
    </row>
    <row r="27" spans="1:2" x14ac:dyDescent="0.25">
      <c r="B27" s="34"/>
    </row>
    <row r="28" spans="1:2" x14ac:dyDescent="0.25">
      <c r="B28" s="33"/>
    </row>
    <row r="29" spans="1:2" x14ac:dyDescent="0.25">
      <c r="B29" s="33"/>
    </row>
    <row r="30" spans="1:2" x14ac:dyDescent="0.25">
      <c r="B30" s="33"/>
    </row>
    <row r="31" spans="1:2" x14ac:dyDescent="0.25">
      <c r="B31" s="33"/>
    </row>
    <row r="32" spans="1:2" x14ac:dyDescent="0.25">
      <c r="B32" s="33"/>
    </row>
    <row r="33" spans="2:2" x14ac:dyDescent="0.25">
      <c r="B33" s="33"/>
    </row>
    <row r="34" spans="2:2" x14ac:dyDescent="0.25">
      <c r="B34" s="1"/>
    </row>
  </sheetData>
  <sheetProtection password="8FF3" sheet="1" objects="1" scenarios="1"/>
  <mergeCells count="7">
    <mergeCell ref="A6:F6"/>
    <mergeCell ref="A7:F7"/>
    <mergeCell ref="A1:F1"/>
    <mergeCell ref="A2:F2"/>
    <mergeCell ref="A3:F3"/>
    <mergeCell ref="A4:F4"/>
    <mergeCell ref="A5:F5"/>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pageSetUpPr fitToPage="1"/>
  </sheetPr>
  <dimension ref="A1:I52"/>
  <sheetViews>
    <sheetView tabSelected="1" topLeftCell="A17" zoomScale="110" zoomScaleNormal="110" zoomScaleSheetLayoutView="100" workbookViewId="0">
      <selection activeCell="H45" sqref="H45"/>
    </sheetView>
  </sheetViews>
  <sheetFormatPr baseColWidth="10" defaultColWidth="9.140625" defaultRowHeight="14.25" x14ac:dyDescent="0.2"/>
  <cols>
    <col min="1" max="1" width="12" style="4" customWidth="1"/>
    <col min="2" max="2" width="6" style="4" customWidth="1"/>
    <col min="3" max="3" width="14.7109375" style="4" customWidth="1"/>
    <col min="4" max="4" width="8" style="4" customWidth="1"/>
    <col min="5" max="5" width="7.42578125" style="4" customWidth="1"/>
    <col min="6" max="6" width="9.42578125" style="4" customWidth="1"/>
    <col min="7" max="7" width="9.85546875" style="4" customWidth="1"/>
    <col min="8" max="8" width="10.7109375" style="4" customWidth="1"/>
    <col min="9" max="9" width="26.85546875" style="4" customWidth="1"/>
    <col min="10" max="16384" width="9.140625" style="4"/>
  </cols>
  <sheetData>
    <row r="1" spans="1:9" ht="18" x14ac:dyDescent="0.25">
      <c r="A1" s="27" t="s">
        <v>27</v>
      </c>
      <c r="B1" s="27"/>
      <c r="C1" s="28"/>
      <c r="D1" s="29"/>
      <c r="E1" s="29"/>
      <c r="F1" s="27"/>
      <c r="G1" s="27"/>
      <c r="H1" s="27"/>
      <c r="I1" s="27"/>
    </row>
    <row r="2" spans="1:9" ht="18" x14ac:dyDescent="0.25">
      <c r="A2" s="27" t="s">
        <v>0</v>
      </c>
      <c r="B2" s="27"/>
      <c r="C2" s="27"/>
      <c r="D2" s="44"/>
      <c r="E2" s="44"/>
      <c r="F2" s="44"/>
      <c r="G2" s="44"/>
      <c r="H2" s="44"/>
      <c r="I2" s="30"/>
    </row>
    <row r="3" spans="1:9" ht="17.25" customHeight="1" x14ac:dyDescent="0.2">
      <c r="A3" s="4" t="s">
        <v>15</v>
      </c>
      <c r="D3" s="45"/>
      <c r="E3" s="45"/>
      <c r="F3" s="45"/>
      <c r="G3" s="45"/>
      <c r="H3" s="45"/>
      <c r="I3" s="5"/>
    </row>
    <row r="4" spans="1:9" ht="17.25" customHeight="1" x14ac:dyDescent="0.2">
      <c r="A4" s="4" t="s">
        <v>1</v>
      </c>
      <c r="C4" s="36"/>
      <c r="D4" s="22"/>
      <c r="E4" s="6" t="s">
        <v>33</v>
      </c>
    </row>
    <row r="5" spans="1:9" ht="17.25" customHeight="1" x14ac:dyDescent="0.2">
      <c r="A5" s="4" t="s">
        <v>45</v>
      </c>
      <c r="C5" s="36"/>
      <c r="D5" s="22" t="s">
        <v>46</v>
      </c>
      <c r="E5" s="37"/>
      <c r="G5" s="38" t="s">
        <v>47</v>
      </c>
    </row>
    <row r="6" spans="1:9" ht="17.25" customHeight="1" x14ac:dyDescent="0.2">
      <c r="A6" s="36" t="s">
        <v>8</v>
      </c>
      <c r="C6" s="6"/>
      <c r="D6" s="4">
        <f>D4/workDaysNum(D5)</f>
        <v>0</v>
      </c>
      <c r="G6" s="38"/>
    </row>
    <row r="7" spans="1:9" ht="17.25" customHeight="1" x14ac:dyDescent="0.2">
      <c r="A7" s="36" t="s">
        <v>9</v>
      </c>
      <c r="C7" s="36"/>
      <c r="D7" s="4" t="e">
        <f ca="1">D6*D8</f>
        <v>#VALUE!</v>
      </c>
      <c r="E7" s="6"/>
    </row>
    <row r="8" spans="1:9" ht="17.25" customHeight="1" x14ac:dyDescent="0.2">
      <c r="A8" s="4" t="s">
        <v>7</v>
      </c>
      <c r="C8" s="36"/>
      <c r="D8" s="7" t="e">
        <f ca="1">countDays(D5, "workdays")</f>
        <v>#VALUE!</v>
      </c>
      <c r="E8" s="36"/>
      <c r="F8" s="36"/>
    </row>
    <row r="9" spans="1:9" ht="17.25" customHeight="1" x14ac:dyDescent="0.2">
      <c r="H9" s="8"/>
    </row>
    <row r="10" spans="1:9" ht="17.25" customHeight="1" x14ac:dyDescent="0.2">
      <c r="A10" s="4" t="s">
        <v>2</v>
      </c>
      <c r="B10" s="4" t="s">
        <v>30</v>
      </c>
      <c r="C10" s="4" t="s">
        <v>25</v>
      </c>
      <c r="D10" s="4" t="s">
        <v>3</v>
      </c>
      <c r="E10" s="4" t="s">
        <v>4</v>
      </c>
      <c r="F10" s="4" t="s">
        <v>34</v>
      </c>
      <c r="G10" s="4" t="s">
        <v>35</v>
      </c>
      <c r="H10" s="4" t="s">
        <v>5</v>
      </c>
      <c r="I10" s="4" t="s">
        <v>19</v>
      </c>
    </row>
    <row r="11" spans="1:9" ht="17.25" customHeight="1" x14ac:dyDescent="0.2">
      <c r="A11" s="9" t="e">
        <f>DATE(E1,D1,1)</f>
        <v>#NUM!</v>
      </c>
      <c r="B11" s="4" t="e">
        <f>TEXT(A11,"TTT")</f>
        <v>#NUM!</v>
      </c>
      <c r="C11" s="10" t="str">
        <f t="shared" ref="C11:C41" si="0">publicHolidays(A11)</f>
        <v/>
      </c>
      <c r="D11" s="11"/>
      <c r="E11" s="12"/>
      <c r="F11" s="10">
        <f t="shared" ref="F11:F41" si="1">IF(E11-D11-(G11/60/24)&gt;9/24,15,0)</f>
        <v>0</v>
      </c>
      <c r="G11" s="10">
        <f t="shared" ref="G11:G41" si="2">IF(E11-D11&gt;6/24,30,0)</f>
        <v>0</v>
      </c>
      <c r="H11" s="13">
        <f ca="1">calcHours(D11,E11,F11,G11)</f>
        <v>0</v>
      </c>
      <c r="I11" s="10"/>
    </row>
    <row r="12" spans="1:9" ht="17.25" customHeight="1" x14ac:dyDescent="0.2">
      <c r="A12" s="9" t="str">
        <f>IFERROR(IF(AND(A11&lt;&gt;"",A11+1&lt;=EOMONTH(A11,0)),A11+1,""),"")</f>
        <v/>
      </c>
      <c r="B12" s="4" t="str">
        <f t="shared" ref="B12:B41" si="3">TEXT(A12,"TTT")</f>
        <v/>
      </c>
      <c r="C12" s="10" t="str">
        <f t="shared" si="0"/>
        <v/>
      </c>
      <c r="D12" s="14"/>
      <c r="E12" s="15"/>
      <c r="F12" s="10">
        <f t="shared" si="1"/>
        <v>0</v>
      </c>
      <c r="G12" s="10">
        <f t="shared" si="2"/>
        <v>0</v>
      </c>
      <c r="H12" s="13">
        <f t="shared" ref="H12:H41" ca="1" si="4">calcHours(D12,E12,F12,G12)</f>
        <v>0</v>
      </c>
      <c r="I12" s="10"/>
    </row>
    <row r="13" spans="1:9" ht="17.25" customHeight="1" x14ac:dyDescent="0.2">
      <c r="A13" s="9" t="str">
        <f t="shared" ref="A13:A41" si="5">IFERROR(IF(AND(A12&lt;&gt;"",A12+1&lt;=EOMONTH(A12,0)),A12+1,""),"")</f>
        <v/>
      </c>
      <c r="B13" s="4" t="str">
        <f t="shared" si="3"/>
        <v/>
      </c>
      <c r="C13" s="10" t="str">
        <f t="shared" si="0"/>
        <v/>
      </c>
      <c r="D13" s="14"/>
      <c r="E13" s="15"/>
      <c r="F13" s="10">
        <f t="shared" si="1"/>
        <v>0</v>
      </c>
      <c r="G13" s="10">
        <f t="shared" si="2"/>
        <v>0</v>
      </c>
      <c r="H13" s="13">
        <f t="shared" ca="1" si="4"/>
        <v>0</v>
      </c>
      <c r="I13" s="10"/>
    </row>
    <row r="14" spans="1:9" ht="17.25" customHeight="1" x14ac:dyDescent="0.2">
      <c r="A14" s="9" t="str">
        <f t="shared" si="5"/>
        <v/>
      </c>
      <c r="B14" s="4" t="str">
        <f t="shared" si="3"/>
        <v/>
      </c>
      <c r="C14" s="10" t="str">
        <f t="shared" si="0"/>
        <v/>
      </c>
      <c r="D14" s="14"/>
      <c r="E14" s="15"/>
      <c r="F14" s="10">
        <f t="shared" si="1"/>
        <v>0</v>
      </c>
      <c r="G14" s="10">
        <f t="shared" si="2"/>
        <v>0</v>
      </c>
      <c r="H14" s="13">
        <f t="shared" ca="1" si="4"/>
        <v>0</v>
      </c>
      <c r="I14" s="10"/>
    </row>
    <row r="15" spans="1:9" ht="17.25" customHeight="1" x14ac:dyDescent="0.2">
      <c r="A15" s="9" t="str">
        <f t="shared" si="5"/>
        <v/>
      </c>
      <c r="B15" s="4" t="str">
        <f t="shared" si="3"/>
        <v/>
      </c>
      <c r="C15" s="10" t="str">
        <f t="shared" si="0"/>
        <v/>
      </c>
      <c r="D15" s="14"/>
      <c r="E15" s="15"/>
      <c r="F15" s="10">
        <f t="shared" si="1"/>
        <v>0</v>
      </c>
      <c r="G15" s="10">
        <f t="shared" si="2"/>
        <v>0</v>
      </c>
      <c r="H15" s="13">
        <f t="shared" ca="1" si="4"/>
        <v>0</v>
      </c>
      <c r="I15" s="10"/>
    </row>
    <row r="16" spans="1:9" ht="17.25" customHeight="1" x14ac:dyDescent="0.2">
      <c r="A16" s="9" t="str">
        <f t="shared" si="5"/>
        <v/>
      </c>
      <c r="B16" s="4" t="str">
        <f t="shared" si="3"/>
        <v/>
      </c>
      <c r="C16" s="10" t="str">
        <f t="shared" si="0"/>
        <v/>
      </c>
      <c r="D16" s="14"/>
      <c r="E16" s="15"/>
      <c r="F16" s="10">
        <f t="shared" si="1"/>
        <v>0</v>
      </c>
      <c r="G16" s="10">
        <f t="shared" si="2"/>
        <v>0</v>
      </c>
      <c r="H16" s="13">
        <f t="shared" ca="1" si="4"/>
        <v>0</v>
      </c>
      <c r="I16" s="10"/>
    </row>
    <row r="17" spans="1:9" ht="17.25" customHeight="1" x14ac:dyDescent="0.2">
      <c r="A17" s="9" t="str">
        <f t="shared" si="5"/>
        <v/>
      </c>
      <c r="B17" s="4" t="str">
        <f t="shared" si="3"/>
        <v/>
      </c>
      <c r="C17" s="10" t="str">
        <f t="shared" si="0"/>
        <v/>
      </c>
      <c r="D17" s="14"/>
      <c r="E17" s="15"/>
      <c r="F17" s="10">
        <f t="shared" si="1"/>
        <v>0</v>
      </c>
      <c r="G17" s="10">
        <f t="shared" si="2"/>
        <v>0</v>
      </c>
      <c r="H17" s="13">
        <f t="shared" ca="1" si="4"/>
        <v>0</v>
      </c>
      <c r="I17" s="10"/>
    </row>
    <row r="18" spans="1:9" ht="17.25" customHeight="1" x14ac:dyDescent="0.2">
      <c r="A18" s="9" t="str">
        <f t="shared" si="5"/>
        <v/>
      </c>
      <c r="B18" s="4" t="str">
        <f t="shared" si="3"/>
        <v/>
      </c>
      <c r="C18" s="10" t="str">
        <f t="shared" si="0"/>
        <v/>
      </c>
      <c r="D18" s="14"/>
      <c r="E18" s="15"/>
      <c r="F18" s="10">
        <f t="shared" si="1"/>
        <v>0</v>
      </c>
      <c r="G18" s="10">
        <f t="shared" si="2"/>
        <v>0</v>
      </c>
      <c r="H18" s="13">
        <f t="shared" ca="1" si="4"/>
        <v>0</v>
      </c>
      <c r="I18" s="10"/>
    </row>
    <row r="19" spans="1:9" ht="17.25" customHeight="1" x14ac:dyDescent="0.2">
      <c r="A19" s="9" t="str">
        <f t="shared" si="5"/>
        <v/>
      </c>
      <c r="B19" s="4" t="str">
        <f t="shared" si="3"/>
        <v/>
      </c>
      <c r="C19" s="10" t="str">
        <f t="shared" si="0"/>
        <v/>
      </c>
      <c r="D19" s="14"/>
      <c r="E19" s="15"/>
      <c r="F19" s="10">
        <f t="shared" si="1"/>
        <v>0</v>
      </c>
      <c r="G19" s="10">
        <f t="shared" si="2"/>
        <v>0</v>
      </c>
      <c r="H19" s="13">
        <f t="shared" ca="1" si="4"/>
        <v>0</v>
      </c>
      <c r="I19" s="10"/>
    </row>
    <row r="20" spans="1:9" ht="17.25" customHeight="1" x14ac:dyDescent="0.2">
      <c r="A20" s="9" t="str">
        <f t="shared" si="5"/>
        <v/>
      </c>
      <c r="B20" s="4" t="str">
        <f t="shared" si="3"/>
        <v/>
      </c>
      <c r="C20" s="10" t="str">
        <f t="shared" si="0"/>
        <v/>
      </c>
      <c r="D20" s="14"/>
      <c r="E20" s="15"/>
      <c r="F20" s="10">
        <f t="shared" si="1"/>
        <v>0</v>
      </c>
      <c r="G20" s="10">
        <f t="shared" si="2"/>
        <v>0</v>
      </c>
      <c r="H20" s="13">
        <f t="shared" ca="1" si="4"/>
        <v>0</v>
      </c>
      <c r="I20" s="10"/>
    </row>
    <row r="21" spans="1:9" ht="17.25" customHeight="1" x14ac:dyDescent="0.2">
      <c r="A21" s="9" t="str">
        <f t="shared" si="5"/>
        <v/>
      </c>
      <c r="B21" s="4" t="str">
        <f t="shared" si="3"/>
        <v/>
      </c>
      <c r="C21" s="10" t="str">
        <f t="shared" si="0"/>
        <v/>
      </c>
      <c r="D21" s="14"/>
      <c r="E21" s="15"/>
      <c r="F21" s="10">
        <f t="shared" si="1"/>
        <v>0</v>
      </c>
      <c r="G21" s="10">
        <f t="shared" si="2"/>
        <v>0</v>
      </c>
      <c r="H21" s="13">
        <f t="shared" ca="1" si="4"/>
        <v>0</v>
      </c>
      <c r="I21" s="10"/>
    </row>
    <row r="22" spans="1:9" ht="17.25" customHeight="1" x14ac:dyDescent="0.2">
      <c r="A22" s="9" t="str">
        <f t="shared" si="5"/>
        <v/>
      </c>
      <c r="B22" s="4" t="str">
        <f t="shared" si="3"/>
        <v/>
      </c>
      <c r="C22" s="10" t="str">
        <f t="shared" si="0"/>
        <v/>
      </c>
      <c r="D22" s="14"/>
      <c r="E22" s="15"/>
      <c r="F22" s="10">
        <f t="shared" si="1"/>
        <v>0</v>
      </c>
      <c r="G22" s="10">
        <f t="shared" si="2"/>
        <v>0</v>
      </c>
      <c r="H22" s="13">
        <f t="shared" ca="1" si="4"/>
        <v>0</v>
      </c>
      <c r="I22" s="10"/>
    </row>
    <row r="23" spans="1:9" ht="17.25" customHeight="1" x14ac:dyDescent="0.2">
      <c r="A23" s="9" t="str">
        <f t="shared" si="5"/>
        <v/>
      </c>
      <c r="B23" s="4" t="str">
        <f t="shared" si="3"/>
        <v/>
      </c>
      <c r="C23" s="10" t="str">
        <f t="shared" si="0"/>
        <v/>
      </c>
      <c r="D23" s="14"/>
      <c r="E23" s="15"/>
      <c r="F23" s="10">
        <f t="shared" si="1"/>
        <v>0</v>
      </c>
      <c r="G23" s="10">
        <f t="shared" si="2"/>
        <v>0</v>
      </c>
      <c r="H23" s="13">
        <f t="shared" ca="1" si="4"/>
        <v>0</v>
      </c>
      <c r="I23" s="10"/>
    </row>
    <row r="24" spans="1:9" ht="17.25" customHeight="1" x14ac:dyDescent="0.2">
      <c r="A24" s="9" t="str">
        <f t="shared" si="5"/>
        <v/>
      </c>
      <c r="B24" s="4" t="str">
        <f t="shared" si="3"/>
        <v/>
      </c>
      <c r="C24" s="10" t="str">
        <f t="shared" si="0"/>
        <v/>
      </c>
      <c r="D24" s="14"/>
      <c r="E24" s="15"/>
      <c r="F24" s="10">
        <f t="shared" si="1"/>
        <v>0</v>
      </c>
      <c r="G24" s="10">
        <f t="shared" si="2"/>
        <v>0</v>
      </c>
      <c r="H24" s="13">
        <f t="shared" ca="1" si="4"/>
        <v>0</v>
      </c>
      <c r="I24" s="10"/>
    </row>
    <row r="25" spans="1:9" ht="17.25" customHeight="1" x14ac:dyDescent="0.2">
      <c r="A25" s="9" t="str">
        <f t="shared" si="5"/>
        <v/>
      </c>
      <c r="B25" s="4" t="str">
        <f t="shared" si="3"/>
        <v/>
      </c>
      <c r="C25" s="10" t="str">
        <f t="shared" si="0"/>
        <v/>
      </c>
      <c r="D25" s="14"/>
      <c r="E25" s="15"/>
      <c r="F25" s="10">
        <f t="shared" si="1"/>
        <v>0</v>
      </c>
      <c r="G25" s="10">
        <f t="shared" si="2"/>
        <v>0</v>
      </c>
      <c r="H25" s="13">
        <f t="shared" ca="1" si="4"/>
        <v>0</v>
      </c>
      <c r="I25" s="10"/>
    </row>
    <row r="26" spans="1:9" ht="17.25" customHeight="1" x14ac:dyDescent="0.2">
      <c r="A26" s="9" t="str">
        <f t="shared" si="5"/>
        <v/>
      </c>
      <c r="B26" s="4" t="str">
        <f t="shared" si="3"/>
        <v/>
      </c>
      <c r="C26" s="10" t="str">
        <f t="shared" si="0"/>
        <v/>
      </c>
      <c r="D26" s="14"/>
      <c r="E26" s="15"/>
      <c r="F26" s="10">
        <f t="shared" si="1"/>
        <v>0</v>
      </c>
      <c r="G26" s="10">
        <f t="shared" si="2"/>
        <v>0</v>
      </c>
      <c r="H26" s="13">
        <f t="shared" ca="1" si="4"/>
        <v>0</v>
      </c>
      <c r="I26" s="10"/>
    </row>
    <row r="27" spans="1:9" ht="17.25" customHeight="1" x14ac:dyDescent="0.2">
      <c r="A27" s="9" t="str">
        <f t="shared" si="5"/>
        <v/>
      </c>
      <c r="B27" s="4" t="str">
        <f t="shared" si="3"/>
        <v/>
      </c>
      <c r="C27" s="10" t="str">
        <f t="shared" si="0"/>
        <v/>
      </c>
      <c r="D27" s="14"/>
      <c r="E27" s="15"/>
      <c r="F27" s="10">
        <f t="shared" si="1"/>
        <v>0</v>
      </c>
      <c r="G27" s="10">
        <f t="shared" si="2"/>
        <v>0</v>
      </c>
      <c r="H27" s="13">
        <f t="shared" ca="1" si="4"/>
        <v>0</v>
      </c>
      <c r="I27" s="10"/>
    </row>
    <row r="28" spans="1:9" ht="17.25" customHeight="1" x14ac:dyDescent="0.2">
      <c r="A28" s="9" t="str">
        <f t="shared" si="5"/>
        <v/>
      </c>
      <c r="B28" s="4" t="str">
        <f t="shared" si="3"/>
        <v/>
      </c>
      <c r="C28" s="10" t="str">
        <f t="shared" si="0"/>
        <v/>
      </c>
      <c r="D28" s="14"/>
      <c r="E28" s="15"/>
      <c r="F28" s="10">
        <f t="shared" si="1"/>
        <v>0</v>
      </c>
      <c r="G28" s="10">
        <f t="shared" si="2"/>
        <v>0</v>
      </c>
      <c r="H28" s="13">
        <f t="shared" ca="1" si="4"/>
        <v>0</v>
      </c>
      <c r="I28" s="10"/>
    </row>
    <row r="29" spans="1:9" ht="17.25" customHeight="1" x14ac:dyDescent="0.2">
      <c r="A29" s="9" t="str">
        <f t="shared" si="5"/>
        <v/>
      </c>
      <c r="B29" s="4" t="str">
        <f t="shared" si="3"/>
        <v/>
      </c>
      <c r="C29" s="10" t="str">
        <f t="shared" si="0"/>
        <v/>
      </c>
      <c r="D29" s="14"/>
      <c r="E29" s="15"/>
      <c r="F29" s="10">
        <f t="shared" si="1"/>
        <v>0</v>
      </c>
      <c r="G29" s="10">
        <f t="shared" si="2"/>
        <v>0</v>
      </c>
      <c r="H29" s="13">
        <f t="shared" ca="1" si="4"/>
        <v>0</v>
      </c>
      <c r="I29" s="10"/>
    </row>
    <row r="30" spans="1:9" ht="17.25" customHeight="1" x14ac:dyDescent="0.2">
      <c r="A30" s="9" t="str">
        <f t="shared" si="5"/>
        <v/>
      </c>
      <c r="B30" s="4" t="str">
        <f t="shared" si="3"/>
        <v/>
      </c>
      <c r="C30" s="10" t="str">
        <f t="shared" si="0"/>
        <v/>
      </c>
      <c r="D30" s="14"/>
      <c r="E30" s="15"/>
      <c r="F30" s="10">
        <f t="shared" si="1"/>
        <v>0</v>
      </c>
      <c r="G30" s="10">
        <f t="shared" si="2"/>
        <v>0</v>
      </c>
      <c r="H30" s="13">
        <f t="shared" ca="1" si="4"/>
        <v>0</v>
      </c>
      <c r="I30" s="10"/>
    </row>
    <row r="31" spans="1:9" ht="17.25" customHeight="1" x14ac:dyDescent="0.2">
      <c r="A31" s="9" t="str">
        <f t="shared" si="5"/>
        <v/>
      </c>
      <c r="B31" s="4" t="str">
        <f t="shared" si="3"/>
        <v/>
      </c>
      <c r="C31" s="10" t="str">
        <f t="shared" si="0"/>
        <v/>
      </c>
      <c r="D31" s="14"/>
      <c r="E31" s="15"/>
      <c r="F31" s="10">
        <f t="shared" si="1"/>
        <v>0</v>
      </c>
      <c r="G31" s="10">
        <f t="shared" si="2"/>
        <v>0</v>
      </c>
      <c r="H31" s="13">
        <f t="shared" ca="1" si="4"/>
        <v>0</v>
      </c>
      <c r="I31" s="10"/>
    </row>
    <row r="32" spans="1:9" ht="17.25" customHeight="1" x14ac:dyDescent="0.2">
      <c r="A32" s="9" t="str">
        <f t="shared" si="5"/>
        <v/>
      </c>
      <c r="B32" s="4" t="str">
        <f t="shared" si="3"/>
        <v/>
      </c>
      <c r="C32" s="10" t="str">
        <f t="shared" si="0"/>
        <v/>
      </c>
      <c r="D32" s="14"/>
      <c r="E32" s="15"/>
      <c r="F32" s="10">
        <f t="shared" si="1"/>
        <v>0</v>
      </c>
      <c r="G32" s="10">
        <f t="shared" si="2"/>
        <v>0</v>
      </c>
      <c r="H32" s="13">
        <f t="shared" ca="1" si="4"/>
        <v>0</v>
      </c>
      <c r="I32" s="10"/>
    </row>
    <row r="33" spans="1:9" ht="17.25" customHeight="1" x14ac:dyDescent="0.2">
      <c r="A33" s="9" t="str">
        <f t="shared" si="5"/>
        <v/>
      </c>
      <c r="B33" s="4" t="str">
        <f t="shared" si="3"/>
        <v/>
      </c>
      <c r="C33" s="10" t="str">
        <f t="shared" si="0"/>
        <v/>
      </c>
      <c r="D33" s="14"/>
      <c r="E33" s="15"/>
      <c r="F33" s="10">
        <f t="shared" si="1"/>
        <v>0</v>
      </c>
      <c r="G33" s="10">
        <f t="shared" si="2"/>
        <v>0</v>
      </c>
      <c r="H33" s="13">
        <f t="shared" ca="1" si="4"/>
        <v>0</v>
      </c>
      <c r="I33" s="10"/>
    </row>
    <row r="34" spans="1:9" ht="17.25" customHeight="1" x14ac:dyDescent="0.2">
      <c r="A34" s="9" t="str">
        <f t="shared" si="5"/>
        <v/>
      </c>
      <c r="B34" s="4" t="str">
        <f t="shared" si="3"/>
        <v/>
      </c>
      <c r="C34" s="10" t="str">
        <f t="shared" si="0"/>
        <v/>
      </c>
      <c r="D34" s="14"/>
      <c r="E34" s="15"/>
      <c r="F34" s="10">
        <f t="shared" si="1"/>
        <v>0</v>
      </c>
      <c r="G34" s="10">
        <f t="shared" si="2"/>
        <v>0</v>
      </c>
      <c r="H34" s="13">
        <f t="shared" ca="1" si="4"/>
        <v>0</v>
      </c>
      <c r="I34" s="10"/>
    </row>
    <row r="35" spans="1:9" ht="17.25" customHeight="1" x14ac:dyDescent="0.2">
      <c r="A35" s="9" t="str">
        <f t="shared" si="5"/>
        <v/>
      </c>
      <c r="B35" s="4" t="str">
        <f t="shared" si="3"/>
        <v/>
      </c>
      <c r="C35" s="10" t="str">
        <f t="shared" si="0"/>
        <v/>
      </c>
      <c r="D35" s="14"/>
      <c r="E35" s="15"/>
      <c r="F35" s="10">
        <f t="shared" si="1"/>
        <v>0</v>
      </c>
      <c r="G35" s="10">
        <f t="shared" si="2"/>
        <v>0</v>
      </c>
      <c r="H35" s="13">
        <f t="shared" ca="1" si="4"/>
        <v>0</v>
      </c>
      <c r="I35" s="10"/>
    </row>
    <row r="36" spans="1:9" ht="17.25" customHeight="1" x14ac:dyDescent="0.2">
      <c r="A36" s="9" t="str">
        <f t="shared" si="5"/>
        <v/>
      </c>
      <c r="B36" s="4" t="str">
        <f t="shared" si="3"/>
        <v/>
      </c>
      <c r="C36" s="10" t="str">
        <f t="shared" si="0"/>
        <v/>
      </c>
      <c r="D36" s="14"/>
      <c r="E36" s="15"/>
      <c r="F36" s="10">
        <f t="shared" si="1"/>
        <v>0</v>
      </c>
      <c r="G36" s="10">
        <f t="shared" si="2"/>
        <v>0</v>
      </c>
      <c r="H36" s="13">
        <f t="shared" ca="1" si="4"/>
        <v>0</v>
      </c>
      <c r="I36" s="10"/>
    </row>
    <row r="37" spans="1:9" ht="17.25" customHeight="1" x14ac:dyDescent="0.2">
      <c r="A37" s="9" t="str">
        <f t="shared" si="5"/>
        <v/>
      </c>
      <c r="B37" s="4" t="str">
        <f t="shared" si="3"/>
        <v/>
      </c>
      <c r="C37" s="10" t="str">
        <f t="shared" ref="C37:C40" si="6">publicHolidays(A37)</f>
        <v/>
      </c>
      <c r="D37" s="14"/>
      <c r="E37" s="15"/>
      <c r="F37" s="10">
        <f t="shared" si="1"/>
        <v>0</v>
      </c>
      <c r="G37" s="10">
        <f t="shared" si="2"/>
        <v>0</v>
      </c>
      <c r="H37" s="13">
        <f t="shared" ca="1" si="4"/>
        <v>0</v>
      </c>
      <c r="I37" s="10"/>
    </row>
    <row r="38" spans="1:9" ht="17.25" customHeight="1" x14ac:dyDescent="0.2">
      <c r="A38" s="9" t="str">
        <f t="shared" si="5"/>
        <v/>
      </c>
      <c r="B38" s="4" t="str">
        <f t="shared" si="3"/>
        <v/>
      </c>
      <c r="C38" s="10" t="str">
        <f t="shared" si="0"/>
        <v/>
      </c>
      <c r="D38" s="14"/>
      <c r="E38" s="15"/>
      <c r="F38" s="10">
        <f t="shared" si="1"/>
        <v>0</v>
      </c>
      <c r="G38" s="10">
        <f t="shared" si="2"/>
        <v>0</v>
      </c>
      <c r="H38" s="13">
        <f t="shared" ca="1" si="4"/>
        <v>0</v>
      </c>
      <c r="I38" s="10"/>
    </row>
    <row r="39" spans="1:9" ht="17.25" customHeight="1" x14ac:dyDescent="0.2">
      <c r="A39" s="9" t="str">
        <f t="shared" si="5"/>
        <v/>
      </c>
      <c r="B39" s="4" t="str">
        <f t="shared" si="3"/>
        <v/>
      </c>
      <c r="C39" s="10" t="str">
        <f t="shared" si="0"/>
        <v/>
      </c>
      <c r="D39" s="14"/>
      <c r="E39" s="15"/>
      <c r="F39" s="10">
        <f t="shared" si="1"/>
        <v>0</v>
      </c>
      <c r="G39" s="10">
        <f t="shared" si="2"/>
        <v>0</v>
      </c>
      <c r="H39" s="13">
        <f t="shared" ca="1" si="4"/>
        <v>0</v>
      </c>
      <c r="I39" s="10"/>
    </row>
    <row r="40" spans="1:9" ht="17.25" customHeight="1" x14ac:dyDescent="0.2">
      <c r="A40" s="9" t="str">
        <f t="shared" si="5"/>
        <v/>
      </c>
      <c r="B40" s="4" t="str">
        <f t="shared" si="3"/>
        <v/>
      </c>
      <c r="C40" s="10" t="str">
        <f t="shared" si="6"/>
        <v/>
      </c>
      <c r="D40" s="14"/>
      <c r="E40" s="15"/>
      <c r="F40" s="10">
        <f t="shared" si="1"/>
        <v>0</v>
      </c>
      <c r="G40" s="10">
        <f t="shared" si="2"/>
        <v>0</v>
      </c>
      <c r="H40" s="13">
        <f t="shared" ca="1" si="4"/>
        <v>0</v>
      </c>
      <c r="I40" s="10"/>
    </row>
    <row r="41" spans="1:9" ht="17.25" customHeight="1" x14ac:dyDescent="0.2">
      <c r="A41" s="9" t="str">
        <f t="shared" si="5"/>
        <v/>
      </c>
      <c r="B41" s="4" t="str">
        <f t="shared" si="3"/>
        <v/>
      </c>
      <c r="C41" s="10" t="str">
        <f t="shared" si="0"/>
        <v/>
      </c>
      <c r="D41" s="16"/>
      <c r="E41" s="17"/>
      <c r="F41" s="10">
        <f t="shared" si="1"/>
        <v>0</v>
      </c>
      <c r="G41" s="10">
        <f t="shared" si="2"/>
        <v>0</v>
      </c>
      <c r="H41" s="13">
        <f t="shared" ca="1" si="4"/>
        <v>0</v>
      </c>
      <c r="I41" s="10"/>
    </row>
    <row r="42" spans="1:9" s="19" customFormat="1" ht="17.25" customHeight="1" x14ac:dyDescent="0.2">
      <c r="A42" s="18"/>
      <c r="D42" s="20"/>
      <c r="E42" s="20"/>
      <c r="H42" s="20"/>
      <c r="I42" s="21"/>
    </row>
    <row r="43" spans="1:9" s="19" customFormat="1" ht="17.25" customHeight="1" x14ac:dyDescent="0.2">
      <c r="C43" s="18" t="s">
        <v>28</v>
      </c>
      <c r="D43" s="22"/>
      <c r="E43" s="20"/>
      <c r="F43" s="46" t="s">
        <v>13</v>
      </c>
      <c r="G43" s="46"/>
      <c r="H43" s="7">
        <f ca="1">SUM(H11:H41)*24</f>
        <v>0</v>
      </c>
      <c r="I43" s="21"/>
    </row>
    <row r="44" spans="1:9" ht="17.25" customHeight="1" x14ac:dyDescent="0.2">
      <c r="C44" s="4" t="s">
        <v>29</v>
      </c>
      <c r="F44" s="47" t="s">
        <v>6</v>
      </c>
      <c r="G44" s="47"/>
      <c r="H44" s="23" t="e">
        <f ca="1">H43-D7</f>
        <v>#VALUE!</v>
      </c>
      <c r="I44" s="10"/>
    </row>
    <row r="45" spans="1:9" ht="17.25" customHeight="1" x14ac:dyDescent="0.2">
      <c r="C45" s="4" t="s">
        <v>12</v>
      </c>
      <c r="D45" s="39" t="e">
        <f ca="1">countDays(D5, "vacation")</f>
        <v>#VALUE!</v>
      </c>
      <c r="F45" s="43" t="s">
        <v>10</v>
      </c>
      <c r="G45" s="43"/>
      <c r="H45" s="23">
        <v>0</v>
      </c>
      <c r="I45" s="10"/>
    </row>
    <row r="46" spans="1:9" ht="17.25" customHeight="1" x14ac:dyDescent="0.2">
      <c r="C46" s="18" t="s">
        <v>14</v>
      </c>
      <c r="D46" s="4" t="e">
        <f ca="1">D44-D45</f>
        <v>#VALUE!</v>
      </c>
      <c r="F46" s="43" t="s">
        <v>22</v>
      </c>
      <c r="G46" s="43"/>
      <c r="H46" s="24"/>
      <c r="I46" s="10"/>
    </row>
    <row r="47" spans="1:9" ht="17.25" customHeight="1" x14ac:dyDescent="0.2">
      <c r="F47" s="43" t="s">
        <v>11</v>
      </c>
      <c r="G47" s="43"/>
      <c r="H47" s="23" t="e">
        <f ca="1">SUM(H44:H46)</f>
        <v>#VALUE!</v>
      </c>
      <c r="I47" s="10"/>
    </row>
    <row r="48" spans="1:9" ht="17.25" customHeight="1" x14ac:dyDescent="0.2"/>
    <row r="49" spans="1:9" ht="17.25" customHeight="1" x14ac:dyDescent="0.2">
      <c r="A49" s="4" t="s">
        <v>26</v>
      </c>
    </row>
    <row r="50" spans="1:9" ht="17.25" customHeight="1" x14ac:dyDescent="0.2"/>
    <row r="51" spans="1:9" ht="17.25" customHeight="1" x14ac:dyDescent="0.2"/>
    <row r="52" spans="1:9" ht="17.25" customHeight="1" x14ac:dyDescent="0.2">
      <c r="A52" s="25" t="s">
        <v>20</v>
      </c>
      <c r="B52" s="26"/>
      <c r="C52" s="26"/>
      <c r="D52" s="26"/>
      <c r="F52" s="25" t="s">
        <v>21</v>
      </c>
      <c r="G52" s="26"/>
      <c r="H52" s="26"/>
      <c r="I52" s="26"/>
    </row>
  </sheetData>
  <sheetProtection password="8FF3" sheet="1" objects="1" scenarios="1"/>
  <dataConsolidate/>
  <mergeCells count="7">
    <mergeCell ref="F47:G47"/>
    <mergeCell ref="F45:G45"/>
    <mergeCell ref="F46:G46"/>
    <mergeCell ref="D2:H2"/>
    <mergeCell ref="D3:H3"/>
    <mergeCell ref="F43:G43"/>
    <mergeCell ref="F44:G44"/>
  </mergeCells>
  <conditionalFormatting sqref="B11:B41">
    <cfRule type="expression" dxfId="2" priority="4">
      <formula>OR(B11="Sa",B11="So")</formula>
    </cfRule>
  </conditionalFormatting>
  <conditionalFormatting sqref="D2:D5 D43">
    <cfRule type="expression" dxfId="1" priority="2">
      <formula>ISBLANK(D2)</formula>
    </cfRule>
  </conditionalFormatting>
  <conditionalFormatting sqref="F11:G41">
    <cfRule type="expression" dxfId="0" priority="1">
      <formula>AND(F11&lt;&gt;0,F11&lt;15)</formula>
    </cfRule>
  </conditionalFormatting>
  <dataValidations count="3">
    <dataValidation type="whole" allowBlank="1" showInputMessage="1" showErrorMessage="1" sqref="E1" xr:uid="{00000000-0002-0000-0200-000000000000}">
      <formula1>2018</formula1>
      <formula2>2039</formula2>
    </dataValidation>
    <dataValidation type="whole" allowBlank="1" showInputMessage="1" showErrorMessage="1" sqref="D1" xr:uid="{00000000-0002-0000-0200-000001000000}">
      <formula1>1</formula1>
      <formula2>12</formula2>
    </dataValidation>
    <dataValidation type="list" allowBlank="1" showInputMessage="1" showErrorMessage="1" error="Es können nur Einträge aus der Liste erfolgen" sqref="C11:C41" xr:uid="{00000000-0002-0000-0200-000002000000}">
      <formula1>absence</formula1>
    </dataValidation>
  </dataValidations>
  <pageMargins left="0.82677165354330717" right="0.23622047244094491" top="0.74803149606299213" bottom="0.74803149606299213" header="0.31496062992125984" footer="0.31496062992125984"/>
  <pageSetup paperSize="9" scale="80"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2</vt:i4>
      </vt:variant>
    </vt:vector>
  </HeadingPairs>
  <TitlesOfParts>
    <vt:vector size="4" baseType="lpstr">
      <vt:lpstr>info</vt:lpstr>
      <vt:lpstr>M01.2020</vt:lpstr>
      <vt:lpstr>absence</vt:lpstr>
      <vt:lpstr>M01.2020!Druckbereich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error on line 1</dc:creator>
  <cp:lastModifiedBy>Bertram, Boris</cp:lastModifiedBy>
  <cp:lastPrinted>2019-12-05T07:51:32Z</cp:lastPrinted>
  <dcterms:created xsi:type="dcterms:W3CDTF">2006-09-16T00:00:00Z</dcterms:created>
  <dcterms:modified xsi:type="dcterms:W3CDTF">2020-02-10T12:25:10Z</dcterms:modified>
</cp:coreProperties>
</file>