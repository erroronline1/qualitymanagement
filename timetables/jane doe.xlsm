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DieseArbeitsmappe" defaultThemeVersion="124226"/>
  <mc:AlternateContent xmlns:mc="http://schemas.openxmlformats.org/markup-compatibility/2006">
    <mc:Choice Requires="x15">
      <x15ac:absPath xmlns:x15ac="http://schemas.microsoft.com/office/spreadsheetml/2010/11/ac" url="C:\Users\Boris\Desktop\"/>
    </mc:Choice>
  </mc:AlternateContent>
  <bookViews>
    <workbookView xWindow="0" yWindow="0" windowWidth="28800" windowHeight="11628" firstSheet="1" activeTab="1"/>
  </bookViews>
  <sheets>
    <sheet name="settings" sheetId="15" state="veryHidden" r:id="rId1"/>
    <sheet name="info" sheetId="11" r:id="rId2"/>
    <sheet name="M01.2020" sheetId="6" r:id="rId3"/>
  </sheets>
  <functionGroups builtInGroupCount="18"/>
  <definedNames>
    <definedName name="_xlnm.Print_Area" localSheetId="2">'M01.2020'!$A$1:$I$52</definedName>
    <definedName name="frei">info!$A$9:$A$16</definedName>
  </definedNames>
  <calcPr calcId="152511"/>
</workbook>
</file>

<file path=xl/calcChain.xml><?xml version="1.0" encoding="utf-8"?>
<calcChain xmlns="http://schemas.openxmlformats.org/spreadsheetml/2006/main">
  <c r="H11" i="6" l="1"/>
  <c r="H12" i="6"/>
  <c r="H13" i="6"/>
  <c r="H14" i="6"/>
  <c r="H15" i="6"/>
  <c r="H16" i="6"/>
  <c r="H17" i="6"/>
  <c r="H18" i="6"/>
  <c r="H19" i="6"/>
  <c r="H20" i="6"/>
  <c r="H21" i="6"/>
  <c r="H22" i="6"/>
  <c r="H23" i="6"/>
  <c r="H24" i="6"/>
  <c r="H25" i="6"/>
  <c r="H26" i="6"/>
  <c r="H27" i="6"/>
  <c r="H28" i="6"/>
  <c r="H29" i="6"/>
  <c r="H30" i="6"/>
  <c r="H31" i="6"/>
  <c r="H32" i="6"/>
  <c r="H33" i="6"/>
  <c r="H34" i="6"/>
  <c r="H35" i="6"/>
  <c r="H36" i="6"/>
  <c r="H37" i="6"/>
  <c r="H38" i="6"/>
  <c r="H39" i="6"/>
  <c r="H40" i="6"/>
  <c r="H10" i="6"/>
  <c r="G11" i="6" l="1"/>
  <c r="G12" i="6"/>
  <c r="G13" i="6"/>
  <c r="G14" i="6"/>
  <c r="G15" i="6"/>
  <c r="G16" i="6"/>
  <c r="G17" i="6"/>
  <c r="G18" i="6"/>
  <c r="G19" i="6"/>
  <c r="G20" i="6"/>
  <c r="G21" i="6"/>
  <c r="G22" i="6"/>
  <c r="G23" i="6"/>
  <c r="G24" i="6"/>
  <c r="G25" i="6"/>
  <c r="G26" i="6"/>
  <c r="G27" i="6"/>
  <c r="G28" i="6"/>
  <c r="G29" i="6"/>
  <c r="G30" i="6"/>
  <c r="G31" i="6"/>
  <c r="G32" i="6"/>
  <c r="G33" i="6"/>
  <c r="G34" i="6"/>
  <c r="G35" i="6"/>
  <c r="G36" i="6"/>
  <c r="G37" i="6"/>
  <c r="G38" i="6"/>
  <c r="G39" i="6"/>
  <c r="G40" i="6"/>
  <c r="F11" i="6"/>
  <c r="F12" i="6"/>
  <c r="F13" i="6"/>
  <c r="F14" i="6"/>
  <c r="F15" i="6"/>
  <c r="F16" i="6"/>
  <c r="F17" i="6"/>
  <c r="F18" i="6"/>
  <c r="F19" i="6"/>
  <c r="F20" i="6"/>
  <c r="F21" i="6"/>
  <c r="F22" i="6"/>
  <c r="F23" i="6"/>
  <c r="F24" i="6"/>
  <c r="F25" i="6"/>
  <c r="F26" i="6"/>
  <c r="F27" i="6"/>
  <c r="F28" i="6"/>
  <c r="F29" i="6"/>
  <c r="F30" i="6"/>
  <c r="F31" i="6"/>
  <c r="F32" i="6"/>
  <c r="F33" i="6"/>
  <c r="F34" i="6"/>
  <c r="F35" i="6"/>
  <c r="F36" i="6"/>
  <c r="F37" i="6"/>
  <c r="F38" i="6"/>
  <c r="F39" i="6"/>
  <c r="F40" i="6"/>
  <c r="G10" i="6" l="1"/>
  <c r="F10" i="6"/>
  <c r="D5" i="6" l="1"/>
  <c r="A10" i="6" l="1"/>
  <c r="C10" i="6" s="1"/>
  <c r="A11" i="6" l="1"/>
  <c r="C11" i="6" s="1"/>
  <c r="H42" i="6"/>
  <c r="B10" i="6"/>
  <c r="B11" i="6" l="1"/>
  <c r="A12" i="6"/>
  <c r="C12" i="6" s="1"/>
  <c r="A13" i="6" l="1"/>
  <c r="C13" i="6" s="1"/>
  <c r="B12" i="6"/>
  <c r="A14" i="6" l="1"/>
  <c r="C14" i="6" s="1"/>
  <c r="B13" i="6"/>
  <c r="B14" i="6" l="1"/>
  <c r="A15" i="6"/>
  <c r="C15" i="6" s="1"/>
  <c r="A16" i="6" l="1"/>
  <c r="C16" i="6" s="1"/>
  <c r="B15" i="6"/>
  <c r="B16" i="6" l="1"/>
  <c r="A17" i="6"/>
  <c r="C17" i="6" s="1"/>
  <c r="B17" i="6" l="1"/>
  <c r="A18" i="6"/>
  <c r="C18" i="6" s="1"/>
  <c r="B18" i="6" l="1"/>
  <c r="A19" i="6"/>
  <c r="C19" i="6" s="1"/>
  <c r="B19" i="6" l="1"/>
  <c r="A20" i="6"/>
  <c r="C20" i="6" s="1"/>
  <c r="B20" i="6" l="1"/>
  <c r="A21" i="6"/>
  <c r="C21" i="6" s="1"/>
  <c r="B21" i="6" l="1"/>
  <c r="A22" i="6"/>
  <c r="C22" i="6" s="1"/>
  <c r="B22" i="6" l="1"/>
  <c r="A23" i="6"/>
  <c r="C23" i="6" s="1"/>
  <c r="B23" i="6" l="1"/>
  <c r="A24" i="6"/>
  <c r="C24" i="6" s="1"/>
  <c r="B24" i="6" l="1"/>
  <c r="A25" i="6"/>
  <c r="C25" i="6" s="1"/>
  <c r="B25" i="6" l="1"/>
  <c r="A26" i="6"/>
  <c r="C26" i="6" s="1"/>
  <c r="B26" i="6" l="1"/>
  <c r="A27" i="6"/>
  <c r="C27" i="6" s="1"/>
  <c r="B27" i="6" l="1"/>
  <c r="A28" i="6"/>
  <c r="C28" i="6" s="1"/>
  <c r="A29" i="6" l="1"/>
  <c r="C29" i="6" s="1"/>
  <c r="B28" i="6"/>
  <c r="B29" i="6" l="1"/>
  <c r="A30" i="6"/>
  <c r="C30" i="6" s="1"/>
  <c r="B30" i="6" l="1"/>
  <c r="A31" i="6"/>
  <c r="C31" i="6" s="1"/>
  <c r="B31" i="6" l="1"/>
  <c r="A32" i="6"/>
  <c r="C32" i="6" s="1"/>
  <c r="B32" i="6" l="1"/>
  <c r="A33" i="6"/>
  <c r="C33" i="6" s="1"/>
  <c r="B33" i="6" l="1"/>
  <c r="A34" i="6"/>
  <c r="C34" i="6" s="1"/>
  <c r="B34" i="6" l="1"/>
  <c r="A35" i="6"/>
  <c r="C35" i="6" s="1"/>
  <c r="B35" i="6" l="1"/>
  <c r="A36" i="6"/>
  <c r="C36" i="6" s="1"/>
  <c r="B36" i="6" l="1"/>
  <c r="A37" i="6"/>
  <c r="C37" i="6" s="1"/>
  <c r="B37" i="6" l="1"/>
  <c r="A38" i="6"/>
  <c r="C38" i="6" s="1"/>
  <c r="B38" i="6" l="1"/>
  <c r="A39" i="6"/>
  <c r="C39" i="6" s="1"/>
  <c r="B39" i="6" l="1"/>
  <c r="A40" i="6"/>
  <c r="C40" i="6" s="1"/>
  <c r="D44" i="6" l="1"/>
  <c r="D45" i="6" s="1"/>
  <c r="B40" i="6"/>
  <c r="D7" i="6" l="1"/>
  <c r="D6" i="6" s="1"/>
  <c r="H43" i="6" s="1"/>
  <c r="H46" i="6" s="1"/>
</calcChain>
</file>

<file path=xl/sharedStrings.xml><?xml version="1.0" encoding="utf-8"?>
<sst xmlns="http://schemas.openxmlformats.org/spreadsheetml/2006/main" count="68" uniqueCount="68">
  <si>
    <t>PlusMinus</t>
  </si>
  <si>
    <t>userpass</t>
  </si>
  <si>
    <t>masterpass</t>
  </si>
  <si>
    <t>rohgezimmert.umgebundenChefdenkerbauseitig</t>
  </si>
  <si>
    <t>Timetable for</t>
  </si>
  <si>
    <t>Surname, Name</t>
  </si>
  <si>
    <t>Department</t>
  </si>
  <si>
    <t>Weekly time</t>
  </si>
  <si>
    <t>hours</t>
  </si>
  <si>
    <t>Net. working days</t>
  </si>
  <si>
    <t>Calculated dayly hours</t>
  </si>
  <si>
    <t>Calculated monthly hours</t>
  </si>
  <si>
    <t>(calculatory only not considering special contracts)</t>
  </si>
  <si>
    <t>Date</t>
  </si>
  <si>
    <t>Day</t>
  </si>
  <si>
    <t>Excemptions</t>
  </si>
  <si>
    <t>Start</t>
  </si>
  <si>
    <t>End</t>
  </si>
  <si>
    <t>Breakfast</t>
  </si>
  <si>
    <t>Lunch</t>
  </si>
  <si>
    <t>Worktime</t>
  </si>
  <si>
    <t>Comment</t>
  </si>
  <si>
    <t>Annual leave</t>
  </si>
  <si>
    <t>Sum</t>
  </si>
  <si>
    <t>Previous remainder</t>
  </si>
  <si>
    <t>Leave</t>
  </si>
  <si>
    <t>Remaining leave</t>
  </si>
  <si>
    <t>Previous hours</t>
  </si>
  <si>
    <t>total</t>
  </si>
  <si>
    <t>Correctional value</t>
  </si>
  <si>
    <t>Signature employee</t>
  </si>
  <si>
    <t>Signature Supervisor</t>
  </si>
  <si>
    <t>The emplyoee is responsible for the veracity of the information</t>
  </si>
  <si>
    <t>New Year</t>
  </si>
  <si>
    <t>Epiphany</t>
  </si>
  <si>
    <t>KarfreitagGood Friday</t>
  </si>
  <si>
    <t>Easter Monday</t>
  </si>
  <si>
    <t>Easter - 3 days</t>
  </si>
  <si>
    <t>first sunday after springs first full moon</t>
  </si>
  <si>
    <t>easter + 39 days</t>
  </si>
  <si>
    <t>easter + 50 days</t>
  </si>
  <si>
    <t>easter + 60 days</t>
  </si>
  <si>
    <t>May Day</t>
  </si>
  <si>
    <t>Ascension Day</t>
  </si>
  <si>
    <t>Pentecost</t>
  </si>
  <si>
    <t>Corpus Christ</t>
  </si>
  <si>
    <t>German unification</t>
  </si>
  <si>
    <t>Hallowmas</t>
  </si>
  <si>
    <t>Christmas Eve</t>
  </si>
  <si>
    <t>1st Christmas Day</t>
  </si>
  <si>
    <t>2nd Christmas Day</t>
  </si>
  <si>
    <t>New Years Eve</t>
  </si>
  <si>
    <t>sick</t>
  </si>
  <si>
    <t>holiday</t>
  </si>
  <si>
    <t>paid leave</t>
  </si>
  <si>
    <t>parental leave</t>
  </si>
  <si>
    <t>business trip</t>
  </si>
  <si>
    <t>vocational school</t>
  </si>
  <si>
    <t>Holidays</t>
  </si>
  <si>
    <t>Exemptions</t>
  </si>
  <si>
    <r>
      <rPr>
        <b/>
        <sz val="11"/>
        <color theme="1"/>
        <rFont val="Calibri"/>
        <family val="2"/>
        <scheme val="minor"/>
      </rPr>
      <t xml:space="preserve">GENERAL INFORMATION:
</t>
    </r>
    <r>
      <rPr>
        <sz val="11"/>
        <color theme="1"/>
        <rFont val="Calibri"/>
        <family val="2"/>
        <scheme val="minor"/>
      </rPr>
      <t xml:space="preserve">This file keeps track of working hours. Editing is restricted.
Working hours and paid leave is transfered to the nex sheet. A new sheet is added each month. Names and order of the sheets must not be changed. Exemptions and holidays over weekends will not be taken into account. On first use the file has to be initialized. It might be necessary to enable macros if the document is started in secured mode.
</t>
    </r>
  </si>
  <si>
    <r>
      <rPr>
        <b/>
        <sz val="11"/>
        <color theme="1"/>
        <rFont val="Calibri"/>
        <family val="2"/>
        <scheme val="minor"/>
      </rPr>
      <t>NOTE:</t>
    </r>
    <r>
      <rPr>
        <sz val="11"/>
        <color theme="1"/>
        <rFont val="Calibri"/>
        <family val="2"/>
        <scheme val="minor"/>
      </rPr>
      <t xml:space="preserve">
Please consider enrties of paid leave on prefilled holidays will be deducted. Take care of correct entries. Holiday will be inserted in new sheets automatically. In case of deleting or overwriting the content the formula will be gone and has to be copied from another row or the holiday has to be set manually.</t>
    </r>
  </si>
  <si>
    <r>
      <rPr>
        <b/>
        <sz val="11"/>
        <color theme="1"/>
        <rFont val="Calibri"/>
        <family val="2"/>
        <scheme val="minor"/>
      </rPr>
      <t>PRO TIP</t>
    </r>
    <r>
      <rPr>
        <sz val="11"/>
        <color theme="1"/>
        <rFont val="Calibri"/>
        <family val="2"/>
        <scheme val="minor"/>
      </rPr>
      <t xml:space="preserve">
Entering time requires a colon. Local settings in Excel fasten it up using the number block on the keyboard:
Files -&gt; Options -&gt; Proofing -&gt;AutoCorrect Options
Check "Replace as you type"
Replace ,, with :
and Add</t>
    </r>
  </si>
  <si>
    <r>
      <rPr>
        <b/>
        <sz val="11"/>
        <color theme="1"/>
        <rFont val="Calibri"/>
        <family val="2"/>
        <scheme val="minor"/>
      </rPr>
      <t xml:space="preserve">ALLOWED EDITS:
</t>
    </r>
    <r>
      <rPr>
        <sz val="11"/>
        <color theme="1"/>
        <rFont val="Calibri"/>
        <family val="2"/>
        <scheme val="minor"/>
      </rPr>
      <t xml:space="preserve">You are allowed to edit:
Name (change of name)
Department (change of department)
Weekly time (changes in contract)
Annual leave (changes in contract, recruitment or quitting during year)
Correctional value (disbursement of overtime hours)
Excemptions (list values only)
Start and End time
Creaks
Comments (e.g. justification for overime or time off in lieu)
</t>
    </r>
  </si>
  <si>
    <r>
      <rPr>
        <b/>
        <sz val="11"/>
        <color theme="1"/>
        <rFont val="Calibri"/>
        <family val="2"/>
        <scheme val="minor"/>
      </rPr>
      <t>HOLIDAY REMINDER:</t>
    </r>
    <r>
      <rPr>
        <sz val="11"/>
        <color theme="1"/>
        <rFont val="Calibri"/>
        <family val="2"/>
        <scheme val="minor"/>
      </rPr>
      <t xml:space="preserve">
Once a month there will be a reminder in case of sinificant paid leave days.
Minimum required breaks will be subtracted by default unless valid break times are registered. Breaks are valid starting from 15 minutes only. Too short breaks or wrong  values are highlighted and substracted corrected. Breakfast will be calculated with 15 minutes, lunch with 30 minutes by default.</t>
    </r>
  </si>
  <si>
    <r>
      <rPr>
        <b/>
        <sz val="11"/>
        <color theme="1"/>
        <rFont val="Calibri"/>
        <family val="2"/>
        <scheme val="minor"/>
      </rPr>
      <t xml:space="preserve">SECURITY:
</t>
    </r>
    <r>
      <rPr>
        <sz val="11"/>
        <color theme="1"/>
        <rFont val="Calibri"/>
        <family val="2"/>
        <scheme val="minor"/>
      </rPr>
      <t>Editing is password secured. On initial use you will be prompted to set up a personal password. This can be changed any time. In case the known password doesn't match unexpectedly or not asked for a violation is suspected and should be investigated</t>
    </r>
  </si>
  <si>
    <t>unlocked</t>
  </si>
  <si>
    <t>see comment</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</si>
</sst>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h:mm;@"/>
    <numFmt numFmtId="165" formatCode="0.00_ ;[Red]\-0.00\ "/>
  </numFmts>
  <fonts count="8">
    <font>
      <sz val="11"/>
      <color theme="1"/>
      <name val="Calibri"/>
      <family val="2"/>
      <scheme val="minor"/>
    </font>
    <font>
      <b/>
      <sz val="11"/>
      <color theme="1"/>
      <name val="Calibri"/>
      <family val="2"/>
      <scheme val="minor"/>
    </font>
    <font>
      <sz val="11"/>
      <color theme="1"/>
      <name val="MetaNormal-Roman"/>
      <family val="2"/>
    </font>
    <font>
      <sz val="11"/>
      <color theme="0" tint="-0.499984740745262"/>
      <name val="MetaNormal-Roman"/>
      <family val="2"/>
    </font>
    <font>
      <b/>
      <sz val="11"/>
      <color theme="1"/>
      <name val="MetaNormal-Roman"/>
      <family val="2"/>
    </font>
    <font>
      <sz val="11"/>
      <color theme="0" tint="-0.34998626667073579"/>
      <name val="MetaNormal-Roman"/>
      <family val="2"/>
    </font>
    <font>
      <sz val="14"/>
      <color theme="1"/>
      <name val="MetaNormal-Roman"/>
      <family val="2"/>
    </font>
    <font>
      <b/>
      <sz val="14"/>
      <color theme="1"/>
      <name val="MetaNormal-Roman"/>
      <family val="2"/>
    </font>
  </fonts>
  <fills count="2">
    <fill>
      <patternFill patternType="none"/>
    </fill>
    <fill>
      <patternFill patternType="gray125"/>
    </fill>
  </fills>
  <borders count="8">
    <border>
      <left/>
      <right/>
      <top/>
      <bottom/>
      <diagonal/>
    </border>
    <border>
      <left style="thin">
        <color rgb="FF00B050"/>
      </left>
      <right/>
      <top style="thin">
        <color rgb="FF00B050"/>
      </top>
      <bottom/>
      <diagonal/>
    </border>
    <border>
      <left style="thin">
        <color rgb="FF00B050"/>
      </left>
      <right/>
      <top/>
      <bottom/>
      <diagonal/>
    </border>
    <border>
      <left style="thin">
        <color rgb="FF00B050"/>
      </left>
      <right/>
      <top/>
      <bottom style="thin">
        <color rgb="FF00B050"/>
      </bottom>
      <diagonal/>
    </border>
    <border>
      <left/>
      <right style="thin">
        <color rgb="FFFF0000"/>
      </right>
      <top style="thin">
        <color rgb="FFFF0000"/>
      </top>
      <bottom/>
      <diagonal/>
    </border>
    <border>
      <left/>
      <right style="thin">
        <color rgb="FFFF0000"/>
      </right>
      <top/>
      <bottom/>
      <diagonal/>
    </border>
    <border>
      <left/>
      <right style="thin">
        <color rgb="FFFF0000"/>
      </right>
      <top/>
      <bottom style="thin">
        <color rgb="FFFF0000"/>
      </bottom>
      <diagonal/>
    </border>
    <border>
      <left/>
      <right/>
      <top/>
      <bottom style="thin">
        <color indexed="64"/>
      </bottom>
      <diagonal/>
    </border>
  </borders>
  <cellStyleXfs count="1">
    <xf numFmtId="0" fontId="0" fillId="0" borderId="0"/>
  </cellStyleXfs>
  <cellXfs count="41">
    <xf numFmtId="0" fontId="0" fillId="0" borderId="0" xfId="0"/>
    <xf numFmtId="16" fontId="0" fillId="0" borderId="0" xfId="0" applyNumberFormat="1"/>
    <xf numFmtId="0" fontId="1" fillId="0" borderId="0" xfId="0" applyFont="1"/>
    <xf numFmtId="22" fontId="0" fillId="0" borderId="0" xfId="0" applyNumberFormat="1"/>
    <xf numFmtId="0" fontId="2" fillId="0" borderId="0" xfId="0" applyFont="1"/>
    <xf numFmtId="0" fontId="2" fillId="0" borderId="0" xfId="0" applyFont="1" applyBorder="1"/>
    <xf numFmtId="0" fontId="2" fillId="0" borderId="0" xfId="0" applyFont="1" applyAlignment="1">
      <alignment horizontal="left"/>
    </xf>
    <xf numFmtId="0" fontId="3" fillId="0" borderId="0" xfId="0" applyFont="1"/>
    <xf numFmtId="2" fontId="2" fillId="0" borderId="0" xfId="0" applyNumberFormat="1" applyFont="1"/>
    <xf numFmtId="165" fontId="4" fillId="0" borderId="0" xfId="0" applyNumberFormat="1" applyFont="1"/>
    <xf numFmtId="14" fontId="2" fillId="0" borderId="0" xfId="0" applyNumberFormat="1" applyFont="1"/>
    <xf numFmtId="0" fontId="2" fillId="0" borderId="0" xfId="0" applyFont="1" applyProtection="1">
      <protection locked="0"/>
    </xf>
    <xf numFmtId="164" fontId="2" fillId="0" borderId="1" xfId="0" applyNumberFormat="1" applyFont="1" applyFill="1" applyBorder="1" applyProtection="1">
      <protection locked="0"/>
    </xf>
    <xf numFmtId="164" fontId="2" fillId="0" borderId="4" xfId="0" applyNumberFormat="1" applyFont="1" applyFill="1" applyBorder="1" applyProtection="1">
      <protection locked="0"/>
    </xf>
    <xf numFmtId="164" fontId="2" fillId="0" borderId="0" xfId="0" applyNumberFormat="1" applyFont="1"/>
    <xf numFmtId="164" fontId="2" fillId="0" borderId="2" xfId="0" applyNumberFormat="1" applyFont="1" applyFill="1" applyBorder="1" applyProtection="1">
      <protection locked="0"/>
    </xf>
    <xf numFmtId="164" fontId="2" fillId="0" borderId="5" xfId="0" applyNumberFormat="1" applyFont="1" applyFill="1" applyBorder="1" applyProtection="1">
      <protection locked="0"/>
    </xf>
    <xf numFmtId="164" fontId="2" fillId="0" borderId="3" xfId="0" applyNumberFormat="1" applyFont="1" applyFill="1" applyBorder="1" applyProtection="1">
      <protection locked="0"/>
    </xf>
    <xf numFmtId="164" fontId="2" fillId="0" borderId="6" xfId="0" applyNumberFormat="1" applyFont="1" applyFill="1" applyBorder="1" applyProtection="1">
      <protection locked="0"/>
    </xf>
    <xf numFmtId="14" fontId="2" fillId="0" borderId="0" xfId="0" applyNumberFormat="1" applyFont="1" applyFill="1"/>
    <xf numFmtId="0" fontId="2" fillId="0" borderId="0" xfId="0" applyFont="1" applyFill="1"/>
    <xf numFmtId="164" fontId="2" fillId="0" borderId="0" xfId="0" applyNumberFormat="1" applyFont="1" applyFill="1"/>
    <xf numFmtId="0" fontId="2" fillId="0" borderId="0" xfId="0" applyFont="1" applyFill="1" applyProtection="1">
      <protection locked="0"/>
    </xf>
    <xf numFmtId="0" fontId="2" fillId="0" borderId="0" xfId="0" applyFont="1" applyBorder="1" applyProtection="1">
      <protection locked="0"/>
    </xf>
    <xf numFmtId="165" fontId="2" fillId="0" borderId="0" xfId="0" applyNumberFormat="1" applyFont="1"/>
    <xf numFmtId="165" fontId="2" fillId="0" borderId="0" xfId="0" applyNumberFormat="1" applyFont="1" applyProtection="1">
      <protection locked="0"/>
    </xf>
    <xf numFmtId="0" fontId="5" fillId="0" borderId="7" xfId="0" applyFont="1" applyBorder="1"/>
    <xf numFmtId="0" fontId="2" fillId="0" borderId="7" xfId="0" applyFont="1" applyBorder="1"/>
    <xf numFmtId="0" fontId="6" fillId="0" borderId="0" xfId="0" applyFont="1"/>
    <xf numFmtId="14" fontId="7" fillId="0" borderId="0" xfId="0" applyNumberFormat="1" applyFont="1"/>
    <xf numFmtId="0" fontId="7" fillId="0" borderId="0" xfId="0" applyFont="1" applyProtection="1"/>
    <xf numFmtId="0" fontId="6" fillId="0" borderId="0" xfId="0" applyFont="1" applyBorder="1"/>
    <xf numFmtId="0" fontId="0" fillId="0" borderId="0" xfId="0" applyAlignment="1">
      <alignment vertical="top" wrapText="1"/>
    </xf>
    <xf numFmtId="16" fontId="0" fillId="0" borderId="0" xfId="0" applyNumberFormat="1" applyAlignment="1">
      <alignment horizontal="left"/>
    </xf>
    <xf numFmtId="0" fontId="0" fillId="0" borderId="0" xfId="0" applyAlignment="1">
      <alignment horizontal="left"/>
    </xf>
    <xf numFmtId="0" fontId="0" fillId="0" borderId="0" xfId="0" applyAlignment="1">
      <alignment horizontal="left" vertical="top" wrapText="1"/>
    </xf>
    <xf numFmtId="0" fontId="2" fillId="0" borderId="0" xfId="0" applyFont="1" applyAlignment="1">
      <alignment horizontal="left"/>
    </xf>
    <xf numFmtId="0" fontId="6" fillId="0" borderId="0" xfId="0" applyFont="1" applyBorder="1" applyAlignment="1" applyProtection="1">
      <alignment horizontal="left"/>
      <protection locked="0"/>
    </xf>
    <xf numFmtId="0" fontId="2" fillId="0" borderId="0" xfId="0" applyFont="1" applyBorder="1" applyAlignment="1" applyProtection="1">
      <alignment horizontal="left"/>
      <protection locked="0"/>
    </xf>
    <xf numFmtId="0" fontId="2" fillId="0" borderId="0" xfId="0" applyFont="1" applyFill="1" applyAlignment="1">
      <alignment horizontal="left" vertical="top"/>
    </xf>
    <xf numFmtId="0" fontId="2" fillId="0" borderId="0" xfId="0" applyFont="1" applyAlignment="1">
      <alignment horizontal="left" vertical="top"/>
    </xf>
  </cellXfs>
  <cellStyles count="1">
    <cellStyle name="Standard" xfId="0" builtinId="0"/>
  </cellStyles>
  <dxfs count="7">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color rgb="FFFFC000"/>
      </font>
    </dxf>
    <dxf>
      <fill>
        <patternFill>
          <bgColor theme="0" tint="-0.24994659260841701"/>
        </patternFill>
      </fill>
    </dxf>
    <dxf>
      <fill>
        <patternFill>
          <bgColor theme="0" tint="-0.24994659260841701"/>
        </patternFill>
      </fill>
    </dxf>
  </dxfs>
  <tableStyles count="0" defaultTableStyle="TableStyleMedium2" defaultPivotStyle="PivotStyleMedium9"/>
  <colors>
    <mruColors>
      <color rgb="FFFFCCFF"/>
      <color rgb="FF99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0"/>
  <dimension ref="A1:C6"/>
  <sheetViews>
    <sheetView workbookViewId="0">
      <selection activeCell="B1" sqref="B1"/>
    </sheetView>
  </sheetViews>
  <sheetFormatPr baseColWidth="10" defaultRowHeight="14.4"/>
  <cols>
    <col min="3" max="3" width="17" customWidth="1"/>
  </cols>
  <sheetData>
    <row r="1" spans="1:3">
      <c r="A1" t="s">
        <v>2</v>
      </c>
      <c r="B1" t="s">
        <v>3</v>
      </c>
    </row>
    <row r="2" spans="1:3">
      <c r="A2" t="s">
        <v>66</v>
      </c>
      <c r="B2">
        <v>0</v>
      </c>
    </row>
    <row r="3" spans="1:3">
      <c r="A3" t="s">
        <v>1</v>
      </c>
      <c r="C3" s="3"/>
    </row>
    <row r="4" spans="1:3">
      <c r="C4" s="3"/>
    </row>
    <row r="5" spans="1:3">
      <c r="C5" s="3"/>
    </row>
    <row r="6" spans="1:3">
      <c r="C6" s="3"/>
    </row>
  </sheetData>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K33"/>
  <sheetViews>
    <sheetView tabSelected="1" zoomScale="130" zoomScaleNormal="130" workbookViewId="0">
      <selection sqref="A1:F1"/>
    </sheetView>
  </sheetViews>
  <sheetFormatPr baseColWidth="10" defaultRowHeight="14.4"/>
  <cols>
    <col min="1" max="1" width="22.1015625" customWidth="1"/>
  </cols>
  <sheetData>
    <row r="1" spans="1:11" ht="89.25" customHeight="1">
      <c r="A1" s="35" t="s">
        <v>60</v>
      </c>
      <c r="B1" s="35"/>
      <c r="C1" s="35"/>
      <c r="D1" s="35"/>
      <c r="E1" s="35"/>
      <c r="F1" s="35"/>
      <c r="G1" s="32"/>
      <c r="H1" s="32"/>
      <c r="I1" s="32"/>
      <c r="J1" s="32"/>
      <c r="K1" s="32"/>
    </row>
    <row r="2" spans="1:11" ht="73.5" customHeight="1">
      <c r="A2" s="35" t="s">
        <v>61</v>
      </c>
      <c r="B2" s="35"/>
      <c r="C2" s="35"/>
      <c r="D2" s="35"/>
      <c r="E2" s="35"/>
      <c r="F2" s="35"/>
      <c r="G2" s="32"/>
      <c r="H2" s="32"/>
      <c r="I2" s="32"/>
      <c r="J2" s="32"/>
      <c r="K2" s="32"/>
    </row>
    <row r="3" spans="1:11" ht="106.15" customHeight="1">
      <c r="A3" s="35" t="s">
        <v>62</v>
      </c>
      <c r="B3" s="35"/>
      <c r="C3" s="35"/>
      <c r="D3" s="35"/>
      <c r="E3" s="35"/>
      <c r="F3" s="35"/>
      <c r="G3" s="32"/>
      <c r="H3" s="32"/>
      <c r="I3" s="32"/>
      <c r="J3" s="32"/>
      <c r="K3" s="32"/>
    </row>
    <row r="4" spans="1:11" ht="161.65" customHeight="1">
      <c r="A4" s="35" t="s">
        <v>63</v>
      </c>
      <c r="B4" s="35"/>
      <c r="C4" s="35"/>
      <c r="D4" s="35"/>
      <c r="E4" s="35"/>
      <c r="F4" s="35"/>
      <c r="G4" s="32"/>
      <c r="H4" s="32"/>
      <c r="I4" s="32"/>
      <c r="J4" s="32"/>
      <c r="K4" s="32"/>
    </row>
    <row r="5" spans="1:11" ht="91.15" customHeight="1">
      <c r="A5" s="35" t="s">
        <v>64</v>
      </c>
      <c r="B5" s="35"/>
      <c r="C5" s="35"/>
      <c r="D5" s="35"/>
      <c r="E5" s="35"/>
      <c r="F5" s="35"/>
      <c r="G5" s="32"/>
      <c r="H5" s="32"/>
      <c r="I5" s="32"/>
      <c r="J5" s="32"/>
      <c r="K5" s="32"/>
    </row>
    <row r="6" spans="1:11" ht="61.9" customHeight="1">
      <c r="A6" s="35" t="s">
        <v>65</v>
      </c>
      <c r="B6" s="35"/>
      <c r="C6" s="35"/>
      <c r="D6" s="35"/>
      <c r="E6" s="35"/>
      <c r="F6" s="35"/>
      <c r="G6" s="32"/>
      <c r="H6" s="32"/>
      <c r="I6" s="32"/>
      <c r="J6" s="32"/>
      <c r="K6" s="32"/>
    </row>
    <row r="7" spans="1:11" ht="23.25" customHeight="1"/>
    <row r="8" spans="1:11">
      <c r="A8" s="2" t="s">
        <v>59</v>
      </c>
    </row>
    <row r="9" spans="1:11">
      <c r="A9" s="2"/>
    </row>
    <row r="10" spans="1:11">
      <c r="A10" t="s">
        <v>52</v>
      </c>
    </row>
    <row r="11" spans="1:11">
      <c r="A11" t="s">
        <v>54</v>
      </c>
    </row>
    <row r="12" spans="1:11">
      <c r="A12" t="s">
        <v>53</v>
      </c>
    </row>
    <row r="13" spans="1:11">
      <c r="A13" t="s">
        <v>56</v>
      </c>
    </row>
    <row r="14" spans="1:11">
      <c r="A14" t="s">
        <v>57</v>
      </c>
    </row>
    <row r="15" spans="1:11">
      <c r="A15" t="s">
        <v>55</v>
      </c>
    </row>
    <row r="16" spans="1:11">
      <c r="A16" t="s">
        <v>67</v>
      </c>
    </row>
    <row r="18" spans="1:2">
      <c r="A18" s="2" t="s">
        <v>58</v>
      </c>
    </row>
    <row r="19" spans="1:2">
      <c r="A19" s="1" t="s">
        <v>33</v>
      </c>
      <c r="B19" s="33">
        <v>43466</v>
      </c>
    </row>
    <row r="20" spans="1:2">
      <c r="A20" s="1" t="s">
        <v>34</v>
      </c>
      <c r="B20" s="33">
        <v>43471</v>
      </c>
    </row>
    <row r="21" spans="1:2">
      <c r="A21" t="s">
        <v>35</v>
      </c>
      <c r="B21" s="34" t="s">
        <v>37</v>
      </c>
    </row>
    <row r="22" spans="1:2">
      <c r="A22" t="s">
        <v>36</v>
      </c>
      <c r="B22" s="34" t="s">
        <v>38</v>
      </c>
    </row>
    <row r="23" spans="1:2">
      <c r="A23" t="s">
        <v>42</v>
      </c>
      <c r="B23" s="33">
        <v>43586</v>
      </c>
    </row>
    <row r="24" spans="1:2">
      <c r="A24" t="s">
        <v>43</v>
      </c>
      <c r="B24" s="34" t="s">
        <v>39</v>
      </c>
    </row>
    <row r="25" spans="1:2">
      <c r="A25" t="s">
        <v>44</v>
      </c>
      <c r="B25" s="34" t="s">
        <v>40</v>
      </c>
    </row>
    <row r="26" spans="1:2">
      <c r="A26" t="s">
        <v>45</v>
      </c>
      <c r="B26" s="34" t="s">
        <v>41</v>
      </c>
    </row>
    <row r="27" spans="1:2">
      <c r="A27" t="s">
        <v>46</v>
      </c>
      <c r="B27" s="33">
        <v>43741</v>
      </c>
    </row>
    <row r="28" spans="1:2">
      <c r="A28" t="s">
        <v>47</v>
      </c>
      <c r="B28" s="33">
        <v>43770</v>
      </c>
    </row>
    <row r="29" spans="1:2">
      <c r="A29" t="s">
        <v>48</v>
      </c>
      <c r="B29" s="33">
        <v>43823</v>
      </c>
    </row>
    <row r="30" spans="1:2">
      <c r="A30" t="s">
        <v>49</v>
      </c>
      <c r="B30" s="33">
        <v>43824</v>
      </c>
    </row>
    <row r="31" spans="1:2">
      <c r="A31" t="s">
        <v>50</v>
      </c>
      <c r="B31" s="33">
        <v>43825</v>
      </c>
    </row>
    <row r="32" spans="1:2">
      <c r="A32" t="s">
        <v>51</v>
      </c>
      <c r="B32" s="33">
        <v>43830</v>
      </c>
    </row>
    <row r="33" spans="2:2">
      <c r="B33" s="1"/>
    </row>
  </sheetData>
  <sheetProtection algorithmName="SHA-512" hashValue="HzHaSVJG7Z3Kc3ek5PGBjhTUDwxnG5PQMFjp+SnxHZTnppesUNrOzUie8EYPuvnweZk+JNSoUvA3BFXu6wAgoQ==" saltValue="bXYTzrsEFDuEsnXbvDTxvQ==" spinCount="100000" sheet="1" objects="1" scenarios="1"/>
  <mergeCells count="6">
    <mergeCell ref="A6:F6"/>
    <mergeCell ref="A1:F1"/>
    <mergeCell ref="A2:F2"/>
    <mergeCell ref="A3:F3"/>
    <mergeCell ref="A4:F4"/>
    <mergeCell ref="A5:F5"/>
  </mergeCells>
  <pageMargins left="0.7" right="0.7" top="0.78740157499999996" bottom="0.78740157499999996"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pageSetUpPr fitToPage="1"/>
  </sheetPr>
  <dimension ref="A1:I51"/>
  <sheetViews>
    <sheetView zoomScale="115" zoomScaleNormal="115" zoomScaleSheetLayoutView="100" workbookViewId="0">
      <selection activeCell="D2" sqref="D2:H2"/>
    </sheetView>
  </sheetViews>
  <sheetFormatPr baseColWidth="10" defaultColWidth="9.1015625" defaultRowHeight="13.8"/>
  <cols>
    <col min="1" max="1" width="12" style="4" customWidth="1"/>
    <col min="2" max="2" width="6" style="4" customWidth="1"/>
    <col min="3" max="3" width="14.734375" style="4" customWidth="1"/>
    <col min="4" max="4" width="8" style="4" customWidth="1"/>
    <col min="5" max="5" width="7.41796875" style="4" customWidth="1"/>
    <col min="6" max="6" width="9.41796875" style="4" customWidth="1"/>
    <col min="7" max="7" width="9.83984375" style="4" customWidth="1"/>
    <col min="8" max="8" width="10.734375" style="4" customWidth="1"/>
    <col min="9" max="9" width="26.83984375" style="4" customWidth="1"/>
    <col min="10" max="16384" width="9.1015625" style="4"/>
  </cols>
  <sheetData>
    <row r="1" spans="1:9" ht="17.7">
      <c r="A1" s="28" t="s">
        <v>4</v>
      </c>
      <c r="B1" s="28"/>
      <c r="C1" s="29"/>
      <c r="D1" s="30"/>
      <c r="E1" s="30"/>
      <c r="F1" s="28"/>
      <c r="G1" s="28"/>
      <c r="H1" s="28"/>
      <c r="I1" s="28"/>
    </row>
    <row r="2" spans="1:9" ht="17.399999999999999">
      <c r="A2" s="28" t="s">
        <v>5</v>
      </c>
      <c r="B2" s="28"/>
      <c r="C2" s="28"/>
      <c r="D2" s="37"/>
      <c r="E2" s="37"/>
      <c r="F2" s="37"/>
      <c r="G2" s="37"/>
      <c r="H2" s="37"/>
      <c r="I2" s="31"/>
    </row>
    <row r="3" spans="1:9" ht="17.25" customHeight="1">
      <c r="A3" s="4" t="s">
        <v>6</v>
      </c>
      <c r="D3" s="38"/>
      <c r="E3" s="38"/>
      <c r="F3" s="38"/>
      <c r="G3" s="38"/>
      <c r="H3" s="38"/>
      <c r="I3" s="5"/>
    </row>
    <row r="4" spans="1:9" ht="17.25" customHeight="1">
      <c r="A4" s="4" t="s">
        <v>7</v>
      </c>
      <c r="C4" s="6"/>
      <c r="D4" s="23"/>
      <c r="E4" s="7" t="s">
        <v>8</v>
      </c>
    </row>
    <row r="5" spans="1:9" ht="17.25" customHeight="1">
      <c r="A5" s="6" t="s">
        <v>10</v>
      </c>
      <c r="C5" s="7"/>
      <c r="D5" s="4">
        <f>D4/5</f>
        <v>0</v>
      </c>
      <c r="E5" s="7" t="s">
        <v>12</v>
      </c>
    </row>
    <row r="6" spans="1:9" ht="17.25" customHeight="1">
      <c r="A6" s="6" t="s">
        <v>11</v>
      </c>
      <c r="C6" s="6"/>
      <c r="D6" s="4">
        <f>D5*D7</f>
        <v>0</v>
      </c>
      <c r="E6" s="7"/>
    </row>
    <row r="7" spans="1:9" ht="17.25" customHeight="1">
      <c r="A7" s="4" t="s">
        <v>9</v>
      </c>
      <c r="C7" s="6"/>
      <c r="D7" s="8">
        <f>COUNTIFS(B10:B40,"?*",B10:B40,"&lt;&gt;Sa",B10:B40,"&lt;&gt;So")-COUNTIFS(C10:C40,"?*",B10:B40,"&lt;&gt;Sa",B10:B40,"&lt;&gt;So")</f>
        <v>0</v>
      </c>
      <c r="E7" s="6"/>
      <c r="F7" s="6"/>
    </row>
    <row r="8" spans="1:9" ht="17.25" customHeight="1">
      <c r="H8" s="9"/>
    </row>
    <row r="9" spans="1:9" ht="17.25" customHeight="1">
      <c r="A9" s="4" t="s">
        <v>13</v>
      </c>
      <c r="B9" s="4" t="s">
        <v>14</v>
      </c>
      <c r="C9" s="4" t="s">
        <v>15</v>
      </c>
      <c r="D9" s="4" t="s">
        <v>16</v>
      </c>
      <c r="E9" s="4" t="s">
        <v>17</v>
      </c>
      <c r="F9" s="4" t="s">
        <v>18</v>
      </c>
      <c r="G9" s="4" t="s">
        <v>19</v>
      </c>
      <c r="H9" s="4" t="s">
        <v>20</v>
      </c>
      <c r="I9" s="4" t="s">
        <v>21</v>
      </c>
    </row>
    <row r="10" spans="1:9" ht="17.25" customHeight="1">
      <c r="A10" s="10" t="e">
        <f>DATE(E1,D1,1)</f>
        <v>#NUM!</v>
      </c>
      <c r="B10" s="4" t="e">
        <f>TEXT(A10,"TTT")</f>
        <v>#NUM!</v>
      </c>
      <c r="C10" s="11" t="e">
        <f>IF(OR($A10=DATE($E$1,1,1),$A10=DATE($E$1,1,6),$A10=DATE($E$1,5,1),$A10=DATE($E$1,10,3),$A10=DATE($E$1,11,1),$A10=DATE($E$1,12,24),$A10=DATE($E$1,12,25),$A10=DATE($E$1,12,26),$A10=DATE($E$1,12,31),$A10=ROUND((DAY(MINUTE($E$1/38)/2+55)&amp;".4."&amp;$E$1)/7,)*7-6-3,$A10=ROUND((DAY(MINUTE($E$1/38)/2+55)&amp;".4."&amp;$E$1)/7,)*7-6,$A10=ROUND((DAY(MINUTE($E$1/38)/2+55)&amp;".4."&amp;$E$1)/7,)*7-6+1,$A10=ROUND((DAY(MINUTE($E$1/38)/2+55)&amp;".4."&amp;$E$1)/7,)*7-6+39,$A10=ROUND((DAY(MINUTE($E$1/38)/2+55)&amp;".4."&amp;$E$1)/7,)*7-6+50,$A10=ROUND((DAY(MINUTE($E$1/38)/2+55)&amp;".4."&amp;$E$1)/7,)*7-6+60,),"holiday","")</f>
        <v>#NUM!</v>
      </c>
      <c r="D10" s="12"/>
      <c r="E10" s="13"/>
      <c r="F10" s="11">
        <f t="shared" ref="F10:F40" si="0">IF(E10-D10-(G10/60/24)&gt;9/24,15,0)</f>
        <v>0</v>
      </c>
      <c r="G10" s="11">
        <f t="shared" ref="G10:G40" si="1">IF(E10-D10&gt;6/24,30,0)</f>
        <v>0</v>
      </c>
      <c r="H10" s="14">
        <f>E10-D10-IF(OR(VALUE(F10)&lt;&gt;0,E10-D10-(VALUE(G10)/60/24)&gt;9/24),IF(VALUE(F10)&lt;15,15/60/24,VALUE(F10)/60/24),VALUE(F10)/60/24)-IF(OR(VALUE(G10)&lt;&gt;0,E10-D10&gt;6/24),IF(VALUE(G10)&lt;30,30/60/24,VALUE(G10)/60/24),VALUE(G10)/60/24)</f>
        <v>0</v>
      </c>
      <c r="I10" s="11"/>
    </row>
    <row r="11" spans="1:9" ht="17.25" customHeight="1">
      <c r="A11" s="10" t="str">
        <f>IFERROR(IF(AND(A10&lt;&gt;"",A10+1&lt;=EOMONTH(A10,0)),A10+1,""),"")</f>
        <v/>
      </c>
      <c r="B11" s="4" t="str">
        <f t="shared" ref="B11:B40" si="2">TEXT(A11,"TTT")</f>
        <v/>
      </c>
      <c r="C11" s="11" t="e">
        <f>IF(OR($A11=DATE($E$1,1,1),$A11=DATE($E$1,1,6),$A11=DATE($E$1,5,1),$A11=DATE($E$1,10,3),$A11=DATE($E$1,11,1),$A11=DATE($E$1,12,24),$A11=DATE($E$1,12,25),$A11=DATE($E$1,12,26),$A11=DATE($E$1,12,31),$A11=ROUND((DAY(MINUTE($E$1/38)/2+55)&amp;".4."&amp;$E$1)/7,)*7-6-3,$A11=ROUND((DAY(MINUTE($E$1/38)/2+55)&amp;".4."&amp;$E$1)/7,)*7-6,$A11=ROUND((DAY(MINUTE($E$1/38)/2+55)&amp;".4."&amp;$E$1)/7,)*7-6+1,$A11=ROUND((DAY(MINUTE($E$1/38)/2+55)&amp;".4."&amp;$E$1)/7,)*7-6+39,$A11=ROUND((DAY(MINUTE($E$1/38)/2+55)&amp;".4."&amp;$E$1)/7,)*7-6+50,$A11=ROUND((DAY(MINUTE($E$1/38)/2+55)&amp;".4."&amp;$E$1)/7,)*7-6+60,),"holiday","")</f>
        <v>#VALUE!</v>
      </c>
      <c r="D11" s="15"/>
      <c r="E11" s="16"/>
      <c r="F11" s="11">
        <f t="shared" si="0"/>
        <v>0</v>
      </c>
      <c r="G11" s="11">
        <f t="shared" si="1"/>
        <v>0</v>
      </c>
      <c r="H11" s="14">
        <f t="shared" ref="H11:H40" si="3">E11-D11-IF(OR(VALUE(F11)&lt;&gt;0,E11-D11-(VALUE(G11)/60/24)&gt;9/24),IF(VALUE(F11)&lt;15,15/60/24,VALUE(F11)/60/24),VALUE(F11)/60/24)-IF(OR(VALUE(G11)&lt;&gt;0,E11-D11&gt;6/24),IF(VALUE(G11)&lt;30,30/60/24,VALUE(G11)/60/24),VALUE(G11)/60/24)</f>
        <v>0</v>
      </c>
      <c r="I11" s="11"/>
    </row>
    <row r="12" spans="1:9" ht="17.25" customHeight="1">
      <c r="A12" s="10" t="str">
        <f t="shared" ref="A12:A40" si="4">IFERROR(IF(AND(A11&lt;&gt;"",A11+1&lt;=EOMONTH(A11,0)),A11+1,""),"")</f>
        <v/>
      </c>
      <c r="B12" s="4" t="str">
        <f t="shared" si="2"/>
        <v/>
      </c>
      <c r="C12" s="11" t="e">
        <f>IF(OR($A12=DATE($E$1,1,1),$A12=DATE($E$1,1,6),$A12=DATE($E$1,5,1),$A12=DATE($E$1,10,3),$A12=DATE($E$1,11,1),$A12=DATE($E$1,12,24),$A12=DATE($E$1,12,25),$A12=DATE($E$1,12,26),$A12=DATE($E$1,12,31),$A12=ROUND((DAY(MINUTE($E$1/38)/2+55)&amp;".4."&amp;$E$1)/7,)*7-6-3,$A12=ROUND((DAY(MINUTE($E$1/38)/2+55)&amp;".4."&amp;$E$1)/7,)*7-6,$A12=ROUND((DAY(MINUTE($E$1/38)/2+55)&amp;".4."&amp;$E$1)/7,)*7-6+1,$A12=ROUND((DAY(MINUTE($E$1/38)/2+55)&amp;".4."&amp;$E$1)/7,)*7-6+39,$A12=ROUND((DAY(MINUTE($E$1/38)/2+55)&amp;".4."&amp;$E$1)/7,)*7-6+50,$A12=ROUND((DAY(MINUTE($E$1/38)/2+55)&amp;".4."&amp;$E$1)/7,)*7-6+60,),"holiday","")</f>
        <v>#VALUE!</v>
      </c>
      <c r="D12" s="15"/>
      <c r="E12" s="16"/>
      <c r="F12" s="11">
        <f t="shared" si="0"/>
        <v>0</v>
      </c>
      <c r="G12" s="11">
        <f t="shared" si="1"/>
        <v>0</v>
      </c>
      <c r="H12" s="14">
        <f t="shared" si="3"/>
        <v>0</v>
      </c>
      <c r="I12" s="11"/>
    </row>
    <row r="13" spans="1:9" ht="17.25" customHeight="1">
      <c r="A13" s="10" t="str">
        <f t="shared" si="4"/>
        <v/>
      </c>
      <c r="B13" s="4" t="str">
        <f t="shared" si="2"/>
        <v/>
      </c>
      <c r="C13" s="11" t="e">
        <f>IF(OR($A13=DATE($E$1,1,1),$A13=DATE($E$1,1,6),$A13=DATE($E$1,5,1),$A13=DATE($E$1,10,3),$A13=DATE($E$1,11,1),$A13=DATE($E$1,12,24),$A13=DATE($E$1,12,25),$A13=DATE($E$1,12,26),$A13=DATE($E$1,12,31),$A13=ROUND((DAY(MINUTE($E$1/38)/2+55)&amp;".4."&amp;$E$1)/7,)*7-6-3,$A13=ROUND((DAY(MINUTE($E$1/38)/2+55)&amp;".4."&amp;$E$1)/7,)*7-6,$A13=ROUND((DAY(MINUTE($E$1/38)/2+55)&amp;".4."&amp;$E$1)/7,)*7-6+1,$A13=ROUND((DAY(MINUTE($E$1/38)/2+55)&amp;".4."&amp;$E$1)/7,)*7-6+39,$A13=ROUND((DAY(MINUTE($E$1/38)/2+55)&amp;".4."&amp;$E$1)/7,)*7-6+50,$A13=ROUND((DAY(MINUTE($E$1/38)/2+55)&amp;".4."&amp;$E$1)/7,)*7-6+60,),"holiday","")</f>
        <v>#VALUE!</v>
      </c>
      <c r="D13" s="15"/>
      <c r="E13" s="16"/>
      <c r="F13" s="11">
        <f t="shared" si="0"/>
        <v>0</v>
      </c>
      <c r="G13" s="11">
        <f t="shared" si="1"/>
        <v>0</v>
      </c>
      <c r="H13" s="14">
        <f t="shared" si="3"/>
        <v>0</v>
      </c>
      <c r="I13" s="11"/>
    </row>
    <row r="14" spans="1:9" ht="17.25" customHeight="1">
      <c r="A14" s="10" t="str">
        <f t="shared" si="4"/>
        <v/>
      </c>
      <c r="B14" s="4" t="str">
        <f t="shared" si="2"/>
        <v/>
      </c>
      <c r="C14" s="11" t="e">
        <f>IF(OR($A14=DATE($E$1,1,1),$A14=DATE($E$1,1,6),$A14=DATE($E$1,5,1),$A14=DATE($E$1,10,3),$A14=DATE($E$1,11,1),$A14=DATE($E$1,12,24),$A14=DATE($E$1,12,25),$A14=DATE($E$1,12,26),$A14=DATE($E$1,12,31),$A14=ROUND((DAY(MINUTE($E$1/38)/2+55)&amp;".4."&amp;$E$1)/7,)*7-6-3,$A14=ROUND((DAY(MINUTE($E$1/38)/2+55)&amp;".4."&amp;$E$1)/7,)*7-6,$A14=ROUND((DAY(MINUTE($E$1/38)/2+55)&amp;".4."&amp;$E$1)/7,)*7-6+1,$A14=ROUND((DAY(MINUTE($E$1/38)/2+55)&amp;".4."&amp;$E$1)/7,)*7-6+39,$A14=ROUND((DAY(MINUTE($E$1/38)/2+55)&amp;".4."&amp;$E$1)/7,)*7-6+50,$A14=ROUND((DAY(MINUTE($E$1/38)/2+55)&amp;".4."&amp;$E$1)/7,)*7-6+60,),"holiday","")</f>
        <v>#VALUE!</v>
      </c>
      <c r="D14" s="15"/>
      <c r="E14" s="16"/>
      <c r="F14" s="11">
        <f t="shared" si="0"/>
        <v>0</v>
      </c>
      <c r="G14" s="11">
        <f t="shared" si="1"/>
        <v>0</v>
      </c>
      <c r="H14" s="14">
        <f t="shared" si="3"/>
        <v>0</v>
      </c>
      <c r="I14" s="11"/>
    </row>
    <row r="15" spans="1:9" ht="17.25" customHeight="1">
      <c r="A15" s="10" t="str">
        <f t="shared" si="4"/>
        <v/>
      </c>
      <c r="B15" s="4" t="str">
        <f t="shared" si="2"/>
        <v/>
      </c>
      <c r="C15" s="11" t="e">
        <f>IF(OR($A15=DATE($E$1,1,1),$A15=DATE($E$1,1,6),$A15=DATE($E$1,5,1),$A15=DATE($E$1,10,3),$A15=DATE($E$1,11,1),$A15=DATE($E$1,12,24),$A15=DATE($E$1,12,25),$A15=DATE($E$1,12,26),$A15=DATE($E$1,12,31),$A15=ROUND((DAY(MINUTE($E$1/38)/2+55)&amp;".4."&amp;$E$1)/7,)*7-6-3,$A15=ROUND((DAY(MINUTE($E$1/38)/2+55)&amp;".4."&amp;$E$1)/7,)*7-6,$A15=ROUND((DAY(MINUTE($E$1/38)/2+55)&amp;".4."&amp;$E$1)/7,)*7-6+1,$A15=ROUND((DAY(MINUTE($E$1/38)/2+55)&amp;".4."&amp;$E$1)/7,)*7-6+39,$A15=ROUND((DAY(MINUTE($E$1/38)/2+55)&amp;".4."&amp;$E$1)/7,)*7-6+50,$A15=ROUND((DAY(MINUTE($E$1/38)/2+55)&amp;".4."&amp;$E$1)/7,)*7-6+60,),"holiday","")</f>
        <v>#VALUE!</v>
      </c>
      <c r="D15" s="15"/>
      <c r="E15" s="16"/>
      <c r="F15" s="11">
        <f t="shared" si="0"/>
        <v>0</v>
      </c>
      <c r="G15" s="11">
        <f t="shared" si="1"/>
        <v>0</v>
      </c>
      <c r="H15" s="14">
        <f t="shared" si="3"/>
        <v>0</v>
      </c>
      <c r="I15" s="11"/>
    </row>
    <row r="16" spans="1:9" ht="17.25" customHeight="1">
      <c r="A16" s="10" t="str">
        <f t="shared" si="4"/>
        <v/>
      </c>
      <c r="B16" s="4" t="str">
        <f t="shared" si="2"/>
        <v/>
      </c>
      <c r="C16" s="11" t="e">
        <f>IF(OR($A16=DATE($E$1,1,1),$A16=DATE($E$1,1,6),$A16=DATE($E$1,5,1),$A16=DATE($E$1,10,3),$A16=DATE($E$1,11,1),$A16=DATE($E$1,12,24),$A16=DATE($E$1,12,25),$A16=DATE($E$1,12,26),$A16=DATE($E$1,12,31),$A16=ROUND((DAY(MINUTE($E$1/38)/2+55)&amp;".4."&amp;$E$1)/7,)*7-6-3,$A16=ROUND((DAY(MINUTE($E$1/38)/2+55)&amp;".4."&amp;$E$1)/7,)*7-6,$A16=ROUND((DAY(MINUTE($E$1/38)/2+55)&amp;".4."&amp;$E$1)/7,)*7-6+1,$A16=ROUND((DAY(MINUTE($E$1/38)/2+55)&amp;".4."&amp;$E$1)/7,)*7-6+39,$A16=ROUND((DAY(MINUTE($E$1/38)/2+55)&amp;".4."&amp;$E$1)/7,)*7-6+50,$A16=ROUND((DAY(MINUTE($E$1/38)/2+55)&amp;".4."&amp;$E$1)/7,)*7-6+60,),"holiday","")</f>
        <v>#VALUE!</v>
      </c>
      <c r="D16" s="15"/>
      <c r="E16" s="16"/>
      <c r="F16" s="11">
        <f t="shared" si="0"/>
        <v>0</v>
      </c>
      <c r="G16" s="11">
        <f t="shared" si="1"/>
        <v>0</v>
      </c>
      <c r="H16" s="14">
        <f t="shared" si="3"/>
        <v>0</v>
      </c>
      <c r="I16" s="11"/>
    </row>
    <row r="17" spans="1:9" ht="17.25" customHeight="1">
      <c r="A17" s="10" t="str">
        <f t="shared" si="4"/>
        <v/>
      </c>
      <c r="B17" s="4" t="str">
        <f t="shared" si="2"/>
        <v/>
      </c>
      <c r="C17" s="11" t="e">
        <f>IF(OR($A17=DATE($E$1,1,1),$A17=DATE($E$1,1,6),$A17=DATE($E$1,5,1),$A17=DATE($E$1,10,3),$A17=DATE($E$1,11,1),$A17=DATE($E$1,12,24),$A17=DATE($E$1,12,25),$A17=DATE($E$1,12,26),$A17=DATE($E$1,12,31),$A17=ROUND((DAY(MINUTE($E$1/38)/2+55)&amp;".4."&amp;$E$1)/7,)*7-6-3,$A17=ROUND((DAY(MINUTE($E$1/38)/2+55)&amp;".4."&amp;$E$1)/7,)*7-6,$A17=ROUND((DAY(MINUTE($E$1/38)/2+55)&amp;".4."&amp;$E$1)/7,)*7-6+1,$A17=ROUND((DAY(MINUTE($E$1/38)/2+55)&amp;".4."&amp;$E$1)/7,)*7-6+39,$A17=ROUND((DAY(MINUTE($E$1/38)/2+55)&amp;".4."&amp;$E$1)/7,)*7-6+50,$A17=ROUND((DAY(MINUTE($E$1/38)/2+55)&amp;".4."&amp;$E$1)/7,)*7-6+60,),"holiday","")</f>
        <v>#VALUE!</v>
      </c>
      <c r="D17" s="15"/>
      <c r="E17" s="16"/>
      <c r="F17" s="11">
        <f t="shared" si="0"/>
        <v>0</v>
      </c>
      <c r="G17" s="11">
        <f t="shared" si="1"/>
        <v>0</v>
      </c>
      <c r="H17" s="14">
        <f t="shared" si="3"/>
        <v>0</v>
      </c>
      <c r="I17" s="11"/>
    </row>
    <row r="18" spans="1:9" ht="17.25" customHeight="1">
      <c r="A18" s="10" t="str">
        <f t="shared" si="4"/>
        <v/>
      </c>
      <c r="B18" s="4" t="str">
        <f t="shared" si="2"/>
        <v/>
      </c>
      <c r="C18" s="11" t="e">
        <f>IF(OR($A18=DATE($E$1,1,1),$A18=DATE($E$1,1,6),$A18=DATE($E$1,5,1),$A18=DATE($E$1,10,3),$A18=DATE($E$1,11,1),$A18=DATE($E$1,12,24),$A18=DATE($E$1,12,25),$A18=DATE($E$1,12,26),$A18=DATE($E$1,12,31),$A18=ROUND((DAY(MINUTE($E$1/38)/2+55)&amp;".4."&amp;$E$1)/7,)*7-6-3,$A18=ROUND((DAY(MINUTE($E$1/38)/2+55)&amp;".4."&amp;$E$1)/7,)*7-6,$A18=ROUND((DAY(MINUTE($E$1/38)/2+55)&amp;".4."&amp;$E$1)/7,)*7-6+1,$A18=ROUND((DAY(MINUTE($E$1/38)/2+55)&amp;".4."&amp;$E$1)/7,)*7-6+39,$A18=ROUND((DAY(MINUTE($E$1/38)/2+55)&amp;".4."&amp;$E$1)/7,)*7-6+50,$A18=ROUND((DAY(MINUTE($E$1/38)/2+55)&amp;".4."&amp;$E$1)/7,)*7-6+60,),"holiday","")</f>
        <v>#VALUE!</v>
      </c>
      <c r="D18" s="15"/>
      <c r="E18" s="16"/>
      <c r="F18" s="11">
        <f t="shared" si="0"/>
        <v>0</v>
      </c>
      <c r="G18" s="11">
        <f t="shared" si="1"/>
        <v>0</v>
      </c>
      <c r="H18" s="14">
        <f t="shared" si="3"/>
        <v>0</v>
      </c>
      <c r="I18" s="11"/>
    </row>
    <row r="19" spans="1:9" ht="17.25" customHeight="1">
      <c r="A19" s="10" t="str">
        <f t="shared" si="4"/>
        <v/>
      </c>
      <c r="B19" s="4" t="str">
        <f t="shared" si="2"/>
        <v/>
      </c>
      <c r="C19" s="11" t="e">
        <f>IF(OR($A19=DATE($E$1,1,1),$A19=DATE($E$1,1,6),$A19=DATE($E$1,5,1),$A19=DATE($E$1,10,3),$A19=DATE($E$1,11,1),$A19=DATE($E$1,12,24),$A19=DATE($E$1,12,25),$A19=DATE($E$1,12,26),$A19=DATE($E$1,12,31),$A19=ROUND((DAY(MINUTE($E$1/38)/2+55)&amp;".4."&amp;$E$1)/7,)*7-6-3,$A19=ROUND((DAY(MINUTE($E$1/38)/2+55)&amp;".4."&amp;$E$1)/7,)*7-6,$A19=ROUND((DAY(MINUTE($E$1/38)/2+55)&amp;".4."&amp;$E$1)/7,)*7-6+1,$A19=ROUND((DAY(MINUTE($E$1/38)/2+55)&amp;".4."&amp;$E$1)/7,)*7-6+39,$A19=ROUND((DAY(MINUTE($E$1/38)/2+55)&amp;".4."&amp;$E$1)/7,)*7-6+50,$A19=ROUND((DAY(MINUTE($E$1/38)/2+55)&amp;".4."&amp;$E$1)/7,)*7-6+60,),"holiday","")</f>
        <v>#VALUE!</v>
      </c>
      <c r="D19" s="15"/>
      <c r="E19" s="16"/>
      <c r="F19" s="11">
        <f t="shared" si="0"/>
        <v>0</v>
      </c>
      <c r="G19" s="11">
        <f t="shared" si="1"/>
        <v>0</v>
      </c>
      <c r="H19" s="14">
        <f t="shared" si="3"/>
        <v>0</v>
      </c>
      <c r="I19" s="11"/>
    </row>
    <row r="20" spans="1:9" ht="17.25" customHeight="1">
      <c r="A20" s="10" t="str">
        <f t="shared" si="4"/>
        <v/>
      </c>
      <c r="B20" s="4" t="str">
        <f t="shared" si="2"/>
        <v/>
      </c>
      <c r="C20" s="11" t="e">
        <f>IF(OR($A20=DATE($E$1,1,1),$A20=DATE($E$1,1,6),$A20=DATE($E$1,5,1),$A20=DATE($E$1,10,3),$A20=DATE($E$1,11,1),$A20=DATE($E$1,12,24),$A20=DATE($E$1,12,25),$A20=DATE($E$1,12,26),$A20=DATE($E$1,12,31),$A20=ROUND((DAY(MINUTE($E$1/38)/2+55)&amp;".4."&amp;$E$1)/7,)*7-6-3,$A20=ROUND((DAY(MINUTE($E$1/38)/2+55)&amp;".4."&amp;$E$1)/7,)*7-6,$A20=ROUND((DAY(MINUTE($E$1/38)/2+55)&amp;".4."&amp;$E$1)/7,)*7-6+1,$A20=ROUND((DAY(MINUTE($E$1/38)/2+55)&amp;".4."&amp;$E$1)/7,)*7-6+39,$A20=ROUND((DAY(MINUTE($E$1/38)/2+55)&amp;".4."&amp;$E$1)/7,)*7-6+50,$A20=ROUND((DAY(MINUTE($E$1/38)/2+55)&amp;".4."&amp;$E$1)/7,)*7-6+60,),"holiday","")</f>
        <v>#VALUE!</v>
      </c>
      <c r="D20" s="15"/>
      <c r="E20" s="16"/>
      <c r="F20" s="11">
        <f t="shared" si="0"/>
        <v>0</v>
      </c>
      <c r="G20" s="11">
        <f t="shared" si="1"/>
        <v>0</v>
      </c>
      <c r="H20" s="14">
        <f t="shared" si="3"/>
        <v>0</v>
      </c>
      <c r="I20" s="11"/>
    </row>
    <row r="21" spans="1:9" ht="17.25" customHeight="1">
      <c r="A21" s="10" t="str">
        <f t="shared" si="4"/>
        <v/>
      </c>
      <c r="B21" s="4" t="str">
        <f t="shared" si="2"/>
        <v/>
      </c>
      <c r="C21" s="11" t="e">
        <f>IF(OR($A21=DATE($E$1,1,1),$A21=DATE($E$1,1,6),$A21=DATE($E$1,5,1),$A21=DATE($E$1,10,3),$A21=DATE($E$1,11,1),$A21=DATE($E$1,12,24),$A21=DATE($E$1,12,25),$A21=DATE($E$1,12,26),$A21=DATE($E$1,12,31),$A21=ROUND((DAY(MINUTE($E$1/38)/2+55)&amp;".4."&amp;$E$1)/7,)*7-6-3,$A21=ROUND((DAY(MINUTE($E$1/38)/2+55)&amp;".4."&amp;$E$1)/7,)*7-6,$A21=ROUND((DAY(MINUTE($E$1/38)/2+55)&amp;".4."&amp;$E$1)/7,)*7-6+1,$A21=ROUND((DAY(MINUTE($E$1/38)/2+55)&amp;".4."&amp;$E$1)/7,)*7-6+39,$A21=ROUND((DAY(MINUTE($E$1/38)/2+55)&amp;".4."&amp;$E$1)/7,)*7-6+50,$A21=ROUND((DAY(MINUTE($E$1/38)/2+55)&amp;".4."&amp;$E$1)/7,)*7-6+60,),"holiday","")</f>
        <v>#VALUE!</v>
      </c>
      <c r="D21" s="15"/>
      <c r="E21" s="16"/>
      <c r="F21" s="11">
        <f t="shared" si="0"/>
        <v>0</v>
      </c>
      <c r="G21" s="11">
        <f t="shared" si="1"/>
        <v>0</v>
      </c>
      <c r="H21" s="14">
        <f t="shared" si="3"/>
        <v>0</v>
      </c>
      <c r="I21" s="11"/>
    </row>
    <row r="22" spans="1:9" ht="17.25" customHeight="1">
      <c r="A22" s="10" t="str">
        <f t="shared" si="4"/>
        <v/>
      </c>
      <c r="B22" s="4" t="str">
        <f t="shared" si="2"/>
        <v/>
      </c>
      <c r="C22" s="11" t="e">
        <f>IF(OR($A22=DATE($E$1,1,1),$A22=DATE($E$1,1,6),$A22=DATE($E$1,5,1),$A22=DATE($E$1,10,3),$A22=DATE($E$1,11,1),$A22=DATE($E$1,12,24),$A22=DATE($E$1,12,25),$A22=DATE($E$1,12,26),$A22=DATE($E$1,12,31),$A22=ROUND((DAY(MINUTE($E$1/38)/2+55)&amp;".4."&amp;$E$1)/7,)*7-6-3,$A22=ROUND((DAY(MINUTE($E$1/38)/2+55)&amp;".4."&amp;$E$1)/7,)*7-6,$A22=ROUND((DAY(MINUTE($E$1/38)/2+55)&amp;".4."&amp;$E$1)/7,)*7-6+1,$A22=ROUND((DAY(MINUTE($E$1/38)/2+55)&amp;".4."&amp;$E$1)/7,)*7-6+39,$A22=ROUND((DAY(MINUTE($E$1/38)/2+55)&amp;".4."&amp;$E$1)/7,)*7-6+50,$A22=ROUND((DAY(MINUTE($E$1/38)/2+55)&amp;".4."&amp;$E$1)/7,)*7-6+60,),"holiday","")</f>
        <v>#VALUE!</v>
      </c>
      <c r="D22" s="15"/>
      <c r="E22" s="16"/>
      <c r="F22" s="11">
        <f t="shared" si="0"/>
        <v>0</v>
      </c>
      <c r="G22" s="11">
        <f t="shared" si="1"/>
        <v>0</v>
      </c>
      <c r="H22" s="14">
        <f t="shared" si="3"/>
        <v>0</v>
      </c>
      <c r="I22" s="11"/>
    </row>
    <row r="23" spans="1:9" ht="17.25" customHeight="1">
      <c r="A23" s="10" t="str">
        <f t="shared" si="4"/>
        <v/>
      </c>
      <c r="B23" s="4" t="str">
        <f t="shared" si="2"/>
        <v/>
      </c>
      <c r="C23" s="11" t="e">
        <f>IF(OR($A23=DATE($E$1,1,1),$A23=DATE($E$1,1,6),$A23=DATE($E$1,5,1),$A23=DATE($E$1,10,3),$A23=DATE($E$1,11,1),$A23=DATE($E$1,12,24),$A23=DATE($E$1,12,25),$A23=DATE($E$1,12,26),$A23=DATE($E$1,12,31),$A23=ROUND((DAY(MINUTE($E$1/38)/2+55)&amp;".4."&amp;$E$1)/7,)*7-6-3,$A23=ROUND((DAY(MINUTE($E$1/38)/2+55)&amp;".4."&amp;$E$1)/7,)*7-6,$A23=ROUND((DAY(MINUTE($E$1/38)/2+55)&amp;".4."&amp;$E$1)/7,)*7-6+1,$A23=ROUND((DAY(MINUTE($E$1/38)/2+55)&amp;".4."&amp;$E$1)/7,)*7-6+39,$A23=ROUND((DAY(MINUTE($E$1/38)/2+55)&amp;".4."&amp;$E$1)/7,)*7-6+50,$A23=ROUND((DAY(MINUTE($E$1/38)/2+55)&amp;".4."&amp;$E$1)/7,)*7-6+60,),"holiday","")</f>
        <v>#VALUE!</v>
      </c>
      <c r="D23" s="15"/>
      <c r="E23" s="16"/>
      <c r="F23" s="11">
        <f t="shared" si="0"/>
        <v>0</v>
      </c>
      <c r="G23" s="11">
        <f t="shared" si="1"/>
        <v>0</v>
      </c>
      <c r="H23" s="14">
        <f t="shared" si="3"/>
        <v>0</v>
      </c>
      <c r="I23" s="11"/>
    </row>
    <row r="24" spans="1:9" ht="17.25" customHeight="1">
      <c r="A24" s="10" t="str">
        <f t="shared" si="4"/>
        <v/>
      </c>
      <c r="B24" s="4" t="str">
        <f t="shared" si="2"/>
        <v/>
      </c>
      <c r="C24" s="11" t="e">
        <f>IF(OR($A24=DATE($E$1,1,1),$A24=DATE($E$1,1,6),$A24=DATE($E$1,5,1),$A24=DATE($E$1,10,3),$A24=DATE($E$1,11,1),$A24=DATE($E$1,12,24),$A24=DATE($E$1,12,25),$A24=DATE($E$1,12,26),$A24=DATE($E$1,12,31),$A24=ROUND((DAY(MINUTE($E$1/38)/2+55)&amp;".4."&amp;$E$1)/7,)*7-6-3,$A24=ROUND((DAY(MINUTE($E$1/38)/2+55)&amp;".4."&amp;$E$1)/7,)*7-6,$A24=ROUND((DAY(MINUTE($E$1/38)/2+55)&amp;".4."&amp;$E$1)/7,)*7-6+1,$A24=ROUND((DAY(MINUTE($E$1/38)/2+55)&amp;".4."&amp;$E$1)/7,)*7-6+39,$A24=ROUND((DAY(MINUTE($E$1/38)/2+55)&amp;".4."&amp;$E$1)/7,)*7-6+50,$A24=ROUND((DAY(MINUTE($E$1/38)/2+55)&amp;".4."&amp;$E$1)/7,)*7-6+60,),"holiday","")</f>
        <v>#VALUE!</v>
      </c>
      <c r="D24" s="15"/>
      <c r="E24" s="16"/>
      <c r="F24" s="11">
        <f t="shared" si="0"/>
        <v>0</v>
      </c>
      <c r="G24" s="11">
        <f t="shared" si="1"/>
        <v>0</v>
      </c>
      <c r="H24" s="14">
        <f t="shared" si="3"/>
        <v>0</v>
      </c>
      <c r="I24" s="11"/>
    </row>
    <row r="25" spans="1:9" ht="17.25" customHeight="1">
      <c r="A25" s="10" t="str">
        <f t="shared" si="4"/>
        <v/>
      </c>
      <c r="B25" s="4" t="str">
        <f t="shared" si="2"/>
        <v/>
      </c>
      <c r="C25" s="11" t="e">
        <f>IF(OR($A25=DATE($E$1,1,1),$A25=DATE($E$1,1,6),$A25=DATE($E$1,5,1),$A25=DATE($E$1,10,3),$A25=DATE($E$1,11,1),$A25=DATE($E$1,12,24),$A25=DATE($E$1,12,25),$A25=DATE($E$1,12,26),$A25=DATE($E$1,12,31),$A25=ROUND((DAY(MINUTE($E$1/38)/2+55)&amp;".4."&amp;$E$1)/7,)*7-6-3,$A25=ROUND((DAY(MINUTE($E$1/38)/2+55)&amp;".4."&amp;$E$1)/7,)*7-6,$A25=ROUND((DAY(MINUTE($E$1/38)/2+55)&amp;".4."&amp;$E$1)/7,)*7-6+1,$A25=ROUND((DAY(MINUTE($E$1/38)/2+55)&amp;".4."&amp;$E$1)/7,)*7-6+39,$A25=ROUND((DAY(MINUTE($E$1/38)/2+55)&amp;".4."&amp;$E$1)/7,)*7-6+50,$A25=ROUND((DAY(MINUTE($E$1/38)/2+55)&amp;".4."&amp;$E$1)/7,)*7-6+60,),"holiday","")</f>
        <v>#VALUE!</v>
      </c>
      <c r="D25" s="15"/>
      <c r="E25" s="16"/>
      <c r="F25" s="11">
        <f t="shared" si="0"/>
        <v>0</v>
      </c>
      <c r="G25" s="11">
        <f t="shared" si="1"/>
        <v>0</v>
      </c>
      <c r="H25" s="14">
        <f t="shared" si="3"/>
        <v>0</v>
      </c>
      <c r="I25" s="11"/>
    </row>
    <row r="26" spans="1:9" ht="17.25" customHeight="1">
      <c r="A26" s="10" t="str">
        <f t="shared" si="4"/>
        <v/>
      </c>
      <c r="B26" s="4" t="str">
        <f t="shared" si="2"/>
        <v/>
      </c>
      <c r="C26" s="11" t="e">
        <f>IF(OR($A26=DATE($E$1,1,1),$A26=DATE($E$1,1,6),$A26=DATE($E$1,5,1),$A26=DATE($E$1,10,3),$A26=DATE($E$1,11,1),$A26=DATE($E$1,12,24),$A26=DATE($E$1,12,25),$A26=DATE($E$1,12,26),$A26=DATE($E$1,12,31),$A26=ROUND((DAY(MINUTE($E$1/38)/2+55)&amp;".4."&amp;$E$1)/7,)*7-6-3,$A26=ROUND((DAY(MINUTE($E$1/38)/2+55)&amp;".4."&amp;$E$1)/7,)*7-6,$A26=ROUND((DAY(MINUTE($E$1/38)/2+55)&amp;".4."&amp;$E$1)/7,)*7-6+1,$A26=ROUND((DAY(MINUTE($E$1/38)/2+55)&amp;".4."&amp;$E$1)/7,)*7-6+39,$A26=ROUND((DAY(MINUTE($E$1/38)/2+55)&amp;".4."&amp;$E$1)/7,)*7-6+50,$A26=ROUND((DAY(MINUTE($E$1/38)/2+55)&amp;".4."&amp;$E$1)/7,)*7-6+60,),"holiday","")</f>
        <v>#VALUE!</v>
      </c>
      <c r="D26" s="15"/>
      <c r="E26" s="16"/>
      <c r="F26" s="11">
        <f t="shared" si="0"/>
        <v>0</v>
      </c>
      <c r="G26" s="11">
        <f t="shared" si="1"/>
        <v>0</v>
      </c>
      <c r="H26" s="14">
        <f t="shared" si="3"/>
        <v>0</v>
      </c>
      <c r="I26" s="11"/>
    </row>
    <row r="27" spans="1:9" ht="17.25" customHeight="1">
      <c r="A27" s="10" t="str">
        <f t="shared" si="4"/>
        <v/>
      </c>
      <c r="B27" s="4" t="str">
        <f t="shared" si="2"/>
        <v/>
      </c>
      <c r="C27" s="11" t="e">
        <f>IF(OR($A27=DATE($E$1,1,1),$A27=DATE($E$1,1,6),$A27=DATE($E$1,5,1),$A27=DATE($E$1,10,3),$A27=DATE($E$1,11,1),$A27=DATE($E$1,12,24),$A27=DATE($E$1,12,25),$A27=DATE($E$1,12,26),$A27=DATE($E$1,12,31),$A27=ROUND((DAY(MINUTE($E$1/38)/2+55)&amp;".4."&amp;$E$1)/7,)*7-6-3,$A27=ROUND((DAY(MINUTE($E$1/38)/2+55)&amp;".4."&amp;$E$1)/7,)*7-6,$A27=ROUND((DAY(MINUTE($E$1/38)/2+55)&amp;".4."&amp;$E$1)/7,)*7-6+1,$A27=ROUND((DAY(MINUTE($E$1/38)/2+55)&amp;".4."&amp;$E$1)/7,)*7-6+39,$A27=ROUND((DAY(MINUTE($E$1/38)/2+55)&amp;".4."&amp;$E$1)/7,)*7-6+50,$A27=ROUND((DAY(MINUTE($E$1/38)/2+55)&amp;".4."&amp;$E$1)/7,)*7-6+60,),"holiday","")</f>
        <v>#VALUE!</v>
      </c>
      <c r="D27" s="15"/>
      <c r="E27" s="16"/>
      <c r="F27" s="11">
        <f t="shared" si="0"/>
        <v>0</v>
      </c>
      <c r="G27" s="11">
        <f t="shared" si="1"/>
        <v>0</v>
      </c>
      <c r="H27" s="14">
        <f t="shared" si="3"/>
        <v>0</v>
      </c>
      <c r="I27" s="11"/>
    </row>
    <row r="28" spans="1:9" ht="17.25" customHeight="1">
      <c r="A28" s="10" t="str">
        <f t="shared" si="4"/>
        <v/>
      </c>
      <c r="B28" s="4" t="str">
        <f t="shared" si="2"/>
        <v/>
      </c>
      <c r="C28" s="11" t="e">
        <f>IF(OR($A28=DATE($E$1,1,1),$A28=DATE($E$1,1,6),$A28=DATE($E$1,5,1),$A28=DATE($E$1,10,3),$A28=DATE($E$1,11,1),$A28=DATE($E$1,12,24),$A28=DATE($E$1,12,25),$A28=DATE($E$1,12,26),$A28=DATE($E$1,12,31),$A28=ROUND((DAY(MINUTE($E$1/38)/2+55)&amp;".4."&amp;$E$1)/7,)*7-6-3,$A28=ROUND((DAY(MINUTE($E$1/38)/2+55)&amp;".4."&amp;$E$1)/7,)*7-6,$A28=ROUND((DAY(MINUTE($E$1/38)/2+55)&amp;".4."&amp;$E$1)/7,)*7-6+1,$A28=ROUND((DAY(MINUTE($E$1/38)/2+55)&amp;".4."&amp;$E$1)/7,)*7-6+39,$A28=ROUND((DAY(MINUTE($E$1/38)/2+55)&amp;".4."&amp;$E$1)/7,)*7-6+50,$A28=ROUND((DAY(MINUTE($E$1/38)/2+55)&amp;".4."&amp;$E$1)/7,)*7-6+60,),"holiday","")</f>
        <v>#VALUE!</v>
      </c>
      <c r="D28" s="15"/>
      <c r="E28" s="16"/>
      <c r="F28" s="11">
        <f t="shared" si="0"/>
        <v>0</v>
      </c>
      <c r="G28" s="11">
        <f t="shared" si="1"/>
        <v>0</v>
      </c>
      <c r="H28" s="14">
        <f t="shared" si="3"/>
        <v>0</v>
      </c>
      <c r="I28" s="11"/>
    </row>
    <row r="29" spans="1:9" ht="17.25" customHeight="1">
      <c r="A29" s="10" t="str">
        <f t="shared" si="4"/>
        <v/>
      </c>
      <c r="B29" s="4" t="str">
        <f t="shared" si="2"/>
        <v/>
      </c>
      <c r="C29" s="11" t="e">
        <f>IF(OR($A29=DATE($E$1,1,1),$A29=DATE($E$1,1,6),$A29=DATE($E$1,5,1),$A29=DATE($E$1,10,3),$A29=DATE($E$1,11,1),$A29=DATE($E$1,12,24),$A29=DATE($E$1,12,25),$A29=DATE($E$1,12,26),$A29=DATE($E$1,12,31),$A29=ROUND((DAY(MINUTE($E$1/38)/2+55)&amp;".4."&amp;$E$1)/7,)*7-6-3,$A29=ROUND((DAY(MINUTE($E$1/38)/2+55)&amp;".4."&amp;$E$1)/7,)*7-6,$A29=ROUND((DAY(MINUTE($E$1/38)/2+55)&amp;".4."&amp;$E$1)/7,)*7-6+1,$A29=ROUND((DAY(MINUTE($E$1/38)/2+55)&amp;".4."&amp;$E$1)/7,)*7-6+39,$A29=ROUND((DAY(MINUTE($E$1/38)/2+55)&amp;".4."&amp;$E$1)/7,)*7-6+50,$A29=ROUND((DAY(MINUTE($E$1/38)/2+55)&amp;".4."&amp;$E$1)/7,)*7-6+60,),"holiday","")</f>
        <v>#VALUE!</v>
      </c>
      <c r="D29" s="15"/>
      <c r="E29" s="16"/>
      <c r="F29" s="11">
        <f t="shared" si="0"/>
        <v>0</v>
      </c>
      <c r="G29" s="11">
        <f t="shared" si="1"/>
        <v>0</v>
      </c>
      <c r="H29" s="14">
        <f t="shared" si="3"/>
        <v>0</v>
      </c>
      <c r="I29" s="11"/>
    </row>
    <row r="30" spans="1:9" ht="17.25" customHeight="1">
      <c r="A30" s="10" t="str">
        <f t="shared" si="4"/>
        <v/>
      </c>
      <c r="B30" s="4" t="str">
        <f t="shared" si="2"/>
        <v/>
      </c>
      <c r="C30" s="11" t="e">
        <f>IF(OR($A30=DATE($E$1,1,1),$A30=DATE($E$1,1,6),$A30=DATE($E$1,5,1),$A30=DATE($E$1,10,3),$A30=DATE($E$1,11,1),$A30=DATE($E$1,12,24),$A30=DATE($E$1,12,25),$A30=DATE($E$1,12,26),$A30=DATE($E$1,12,31),$A30=ROUND((DAY(MINUTE($E$1/38)/2+55)&amp;".4."&amp;$E$1)/7,)*7-6-3,$A30=ROUND((DAY(MINUTE($E$1/38)/2+55)&amp;".4."&amp;$E$1)/7,)*7-6,$A30=ROUND((DAY(MINUTE($E$1/38)/2+55)&amp;".4."&amp;$E$1)/7,)*7-6+1,$A30=ROUND((DAY(MINUTE($E$1/38)/2+55)&amp;".4."&amp;$E$1)/7,)*7-6+39,$A30=ROUND((DAY(MINUTE($E$1/38)/2+55)&amp;".4."&amp;$E$1)/7,)*7-6+50,$A30=ROUND((DAY(MINUTE($E$1/38)/2+55)&amp;".4."&amp;$E$1)/7,)*7-6+60,),"holiday","")</f>
        <v>#VALUE!</v>
      </c>
      <c r="D30" s="15"/>
      <c r="E30" s="16"/>
      <c r="F30" s="11">
        <f t="shared" si="0"/>
        <v>0</v>
      </c>
      <c r="G30" s="11">
        <f t="shared" si="1"/>
        <v>0</v>
      </c>
      <c r="H30" s="14">
        <f t="shared" si="3"/>
        <v>0</v>
      </c>
      <c r="I30" s="11"/>
    </row>
    <row r="31" spans="1:9" ht="17.25" customHeight="1">
      <c r="A31" s="10" t="str">
        <f t="shared" si="4"/>
        <v/>
      </c>
      <c r="B31" s="4" t="str">
        <f t="shared" si="2"/>
        <v/>
      </c>
      <c r="C31" s="11" t="e">
        <f>IF(OR($A31=DATE($E$1,1,1),$A31=DATE($E$1,1,6),$A31=DATE($E$1,5,1),$A31=DATE($E$1,10,3),$A31=DATE($E$1,11,1),$A31=DATE($E$1,12,24),$A31=DATE($E$1,12,25),$A31=DATE($E$1,12,26),$A31=DATE($E$1,12,31),$A31=ROUND((DAY(MINUTE($E$1/38)/2+55)&amp;".4."&amp;$E$1)/7,)*7-6-3,$A31=ROUND((DAY(MINUTE($E$1/38)/2+55)&amp;".4."&amp;$E$1)/7,)*7-6,$A31=ROUND((DAY(MINUTE($E$1/38)/2+55)&amp;".4."&amp;$E$1)/7,)*7-6+1,$A31=ROUND((DAY(MINUTE($E$1/38)/2+55)&amp;".4."&amp;$E$1)/7,)*7-6+39,$A31=ROUND((DAY(MINUTE($E$1/38)/2+55)&amp;".4."&amp;$E$1)/7,)*7-6+50,$A31=ROUND((DAY(MINUTE($E$1/38)/2+55)&amp;".4."&amp;$E$1)/7,)*7-6+60,),"holiday","")</f>
        <v>#VALUE!</v>
      </c>
      <c r="D31" s="15"/>
      <c r="E31" s="16"/>
      <c r="F31" s="11">
        <f t="shared" si="0"/>
        <v>0</v>
      </c>
      <c r="G31" s="11">
        <f t="shared" si="1"/>
        <v>0</v>
      </c>
      <c r="H31" s="14">
        <f t="shared" si="3"/>
        <v>0</v>
      </c>
      <c r="I31" s="11"/>
    </row>
    <row r="32" spans="1:9" ht="17.25" customHeight="1">
      <c r="A32" s="10" t="str">
        <f t="shared" si="4"/>
        <v/>
      </c>
      <c r="B32" s="4" t="str">
        <f t="shared" si="2"/>
        <v/>
      </c>
      <c r="C32" s="11" t="e">
        <f>IF(OR($A32=DATE($E$1,1,1),$A32=DATE($E$1,1,6),$A32=DATE($E$1,5,1),$A32=DATE($E$1,10,3),$A32=DATE($E$1,11,1),$A32=DATE($E$1,12,24),$A32=DATE($E$1,12,25),$A32=DATE($E$1,12,26),$A32=DATE($E$1,12,31),$A32=ROUND((DAY(MINUTE($E$1/38)/2+55)&amp;".4."&amp;$E$1)/7,)*7-6-3,$A32=ROUND((DAY(MINUTE($E$1/38)/2+55)&amp;".4."&amp;$E$1)/7,)*7-6,$A32=ROUND((DAY(MINUTE($E$1/38)/2+55)&amp;".4."&amp;$E$1)/7,)*7-6+1,$A32=ROUND((DAY(MINUTE($E$1/38)/2+55)&amp;".4."&amp;$E$1)/7,)*7-6+39,$A32=ROUND((DAY(MINUTE($E$1/38)/2+55)&amp;".4."&amp;$E$1)/7,)*7-6+50,$A32=ROUND((DAY(MINUTE($E$1/38)/2+55)&amp;".4."&amp;$E$1)/7,)*7-6+60,),"holiday","")</f>
        <v>#VALUE!</v>
      </c>
      <c r="D32" s="15"/>
      <c r="E32" s="16"/>
      <c r="F32" s="11">
        <f t="shared" si="0"/>
        <v>0</v>
      </c>
      <c r="G32" s="11">
        <f t="shared" si="1"/>
        <v>0</v>
      </c>
      <c r="H32" s="14">
        <f t="shared" si="3"/>
        <v>0</v>
      </c>
      <c r="I32" s="11"/>
    </row>
    <row r="33" spans="1:9" ht="17.25" customHeight="1">
      <c r="A33" s="10" t="str">
        <f t="shared" si="4"/>
        <v/>
      </c>
      <c r="B33" s="4" t="str">
        <f t="shared" si="2"/>
        <v/>
      </c>
      <c r="C33" s="11" t="e">
        <f>IF(OR($A33=DATE($E$1,1,1),$A33=DATE($E$1,1,6),$A33=DATE($E$1,5,1),$A33=DATE($E$1,10,3),$A33=DATE($E$1,11,1),$A33=DATE($E$1,12,24),$A33=DATE($E$1,12,25),$A33=DATE($E$1,12,26),$A33=DATE($E$1,12,31),$A33=ROUND((DAY(MINUTE($E$1/38)/2+55)&amp;".4."&amp;$E$1)/7,)*7-6-3,$A33=ROUND((DAY(MINUTE($E$1/38)/2+55)&amp;".4."&amp;$E$1)/7,)*7-6,$A33=ROUND((DAY(MINUTE($E$1/38)/2+55)&amp;".4."&amp;$E$1)/7,)*7-6+1,$A33=ROUND((DAY(MINUTE($E$1/38)/2+55)&amp;".4."&amp;$E$1)/7,)*7-6+39,$A33=ROUND((DAY(MINUTE($E$1/38)/2+55)&amp;".4."&amp;$E$1)/7,)*7-6+50,$A33=ROUND((DAY(MINUTE($E$1/38)/2+55)&amp;".4."&amp;$E$1)/7,)*7-6+60,),"holiday","")</f>
        <v>#VALUE!</v>
      </c>
      <c r="D33" s="15"/>
      <c r="E33" s="16"/>
      <c r="F33" s="11">
        <f t="shared" si="0"/>
        <v>0</v>
      </c>
      <c r="G33" s="11">
        <f t="shared" si="1"/>
        <v>0</v>
      </c>
      <c r="H33" s="14">
        <f t="shared" si="3"/>
        <v>0</v>
      </c>
      <c r="I33" s="11"/>
    </row>
    <row r="34" spans="1:9" ht="17.25" customHeight="1">
      <c r="A34" s="10" t="str">
        <f t="shared" si="4"/>
        <v/>
      </c>
      <c r="B34" s="4" t="str">
        <f t="shared" si="2"/>
        <v/>
      </c>
      <c r="C34" s="11" t="e">
        <f>IF(OR($A34=DATE($E$1,1,1),$A34=DATE($E$1,1,6),$A34=DATE($E$1,5,1),$A34=DATE($E$1,10,3),$A34=DATE($E$1,11,1),$A34=DATE($E$1,12,24),$A34=DATE($E$1,12,25),$A34=DATE($E$1,12,26),$A34=DATE($E$1,12,31),$A34=ROUND((DAY(MINUTE($E$1/38)/2+55)&amp;".4."&amp;$E$1)/7,)*7-6-3,$A34=ROUND((DAY(MINUTE($E$1/38)/2+55)&amp;".4."&amp;$E$1)/7,)*7-6,$A34=ROUND((DAY(MINUTE($E$1/38)/2+55)&amp;".4."&amp;$E$1)/7,)*7-6+1,$A34=ROUND((DAY(MINUTE($E$1/38)/2+55)&amp;".4."&amp;$E$1)/7,)*7-6+39,$A34=ROUND((DAY(MINUTE($E$1/38)/2+55)&amp;".4."&amp;$E$1)/7,)*7-6+50,$A34=ROUND((DAY(MINUTE($E$1/38)/2+55)&amp;".4."&amp;$E$1)/7,)*7-6+60,),"holiday","")</f>
        <v>#VALUE!</v>
      </c>
      <c r="D34" s="15"/>
      <c r="E34" s="16"/>
      <c r="F34" s="11">
        <f t="shared" si="0"/>
        <v>0</v>
      </c>
      <c r="G34" s="11">
        <f t="shared" si="1"/>
        <v>0</v>
      </c>
      <c r="H34" s="14">
        <f t="shared" si="3"/>
        <v>0</v>
      </c>
      <c r="I34" s="11"/>
    </row>
    <row r="35" spans="1:9" ht="17.25" customHeight="1">
      <c r="A35" s="10" t="str">
        <f t="shared" si="4"/>
        <v/>
      </c>
      <c r="B35" s="4" t="str">
        <f t="shared" si="2"/>
        <v/>
      </c>
      <c r="C35" s="11" t="e">
        <f>IF(OR($A35=DATE($E$1,1,1),$A35=DATE($E$1,1,6),$A35=DATE($E$1,5,1),$A35=DATE($E$1,10,3),$A35=DATE($E$1,11,1),$A35=DATE($E$1,12,24),$A35=DATE($E$1,12,25),$A35=DATE($E$1,12,26),$A35=DATE($E$1,12,31),$A35=ROUND((DAY(MINUTE($E$1/38)/2+55)&amp;".4."&amp;$E$1)/7,)*7-6-3,$A35=ROUND((DAY(MINUTE($E$1/38)/2+55)&amp;".4."&amp;$E$1)/7,)*7-6,$A35=ROUND((DAY(MINUTE($E$1/38)/2+55)&amp;".4."&amp;$E$1)/7,)*7-6+1,$A35=ROUND((DAY(MINUTE($E$1/38)/2+55)&amp;".4."&amp;$E$1)/7,)*7-6+39,$A35=ROUND((DAY(MINUTE($E$1/38)/2+55)&amp;".4."&amp;$E$1)/7,)*7-6+50,$A35=ROUND((DAY(MINUTE($E$1/38)/2+55)&amp;".4."&amp;$E$1)/7,)*7-6+60,),"holiday","")</f>
        <v>#VALUE!</v>
      </c>
      <c r="D35" s="15"/>
      <c r="E35" s="16"/>
      <c r="F35" s="11">
        <f t="shared" si="0"/>
        <v>0</v>
      </c>
      <c r="G35" s="11">
        <f t="shared" si="1"/>
        <v>0</v>
      </c>
      <c r="H35" s="14">
        <f t="shared" si="3"/>
        <v>0</v>
      </c>
      <c r="I35" s="11"/>
    </row>
    <row r="36" spans="1:9" ht="17.25" customHeight="1">
      <c r="A36" s="10" t="str">
        <f t="shared" si="4"/>
        <v/>
      </c>
      <c r="B36" s="4" t="str">
        <f t="shared" si="2"/>
        <v/>
      </c>
      <c r="C36" s="11" t="e">
        <f>IF(OR($A36=DATE($E$1,1,1),$A36=DATE($E$1,1,6),$A36=DATE($E$1,5,1),$A36=DATE($E$1,10,3),$A36=DATE($E$1,11,1),$A36=DATE($E$1,12,24),$A36=DATE($E$1,12,25),$A36=DATE($E$1,12,26),$A36=DATE($E$1,12,31),$A36=ROUND((DAY(MINUTE($E$1/38)/2+55)&amp;".4."&amp;$E$1)/7,)*7-6-3,$A36=ROUND((DAY(MINUTE($E$1/38)/2+55)&amp;".4."&amp;$E$1)/7,)*7-6,$A36=ROUND((DAY(MINUTE($E$1/38)/2+55)&amp;".4."&amp;$E$1)/7,)*7-6+1,$A36=ROUND((DAY(MINUTE($E$1/38)/2+55)&amp;".4."&amp;$E$1)/7,)*7-6+39,$A36=ROUND((DAY(MINUTE($E$1/38)/2+55)&amp;".4."&amp;$E$1)/7,)*7-6+50,$A36=ROUND((DAY(MINUTE($E$1/38)/2+55)&amp;".4."&amp;$E$1)/7,)*7-6+60,),"holiday","")</f>
        <v>#VALUE!</v>
      </c>
      <c r="D36" s="15"/>
      <c r="E36" s="16"/>
      <c r="F36" s="11">
        <f t="shared" si="0"/>
        <v>0</v>
      </c>
      <c r="G36" s="11">
        <f t="shared" si="1"/>
        <v>0</v>
      </c>
      <c r="H36" s="14">
        <f t="shared" si="3"/>
        <v>0</v>
      </c>
      <c r="I36" s="11"/>
    </row>
    <row r="37" spans="1:9" ht="17.25" customHeight="1">
      <c r="A37" s="10" t="str">
        <f t="shared" si="4"/>
        <v/>
      </c>
      <c r="B37" s="4" t="str">
        <f t="shared" si="2"/>
        <v/>
      </c>
      <c r="C37" s="11" t="e">
        <f>IF(OR($A37=DATE($E$1,1,1),$A37=DATE($E$1,1,6),$A37=DATE($E$1,5,1),$A37=DATE($E$1,10,3),$A37=DATE($E$1,11,1),$A37=DATE($E$1,12,24),$A37=DATE($E$1,12,25),$A37=DATE($E$1,12,26),$A37=DATE($E$1,12,31),$A37=ROUND((DAY(MINUTE($E$1/38)/2+55)&amp;".4."&amp;$E$1)/7,)*7-6-3,$A37=ROUND((DAY(MINUTE($E$1/38)/2+55)&amp;".4."&amp;$E$1)/7,)*7-6,$A37=ROUND((DAY(MINUTE($E$1/38)/2+55)&amp;".4."&amp;$E$1)/7,)*7-6+1,$A37=ROUND((DAY(MINUTE($E$1/38)/2+55)&amp;".4."&amp;$E$1)/7,)*7-6+39,$A37=ROUND((DAY(MINUTE($E$1/38)/2+55)&amp;".4."&amp;$E$1)/7,)*7-6+50,$A37=ROUND((DAY(MINUTE($E$1/38)/2+55)&amp;".4."&amp;$E$1)/7,)*7-6+60,),"holiday","")</f>
        <v>#VALUE!</v>
      </c>
      <c r="D37" s="15"/>
      <c r="E37" s="16"/>
      <c r="F37" s="11">
        <f t="shared" si="0"/>
        <v>0</v>
      </c>
      <c r="G37" s="11">
        <f t="shared" si="1"/>
        <v>0</v>
      </c>
      <c r="H37" s="14">
        <f t="shared" si="3"/>
        <v>0</v>
      </c>
      <c r="I37" s="11"/>
    </row>
    <row r="38" spans="1:9" ht="17.25" customHeight="1">
      <c r="A38" s="10" t="str">
        <f t="shared" si="4"/>
        <v/>
      </c>
      <c r="B38" s="4" t="str">
        <f t="shared" si="2"/>
        <v/>
      </c>
      <c r="C38" s="11" t="e">
        <f>IF(OR($A38=DATE($E$1,1,1),$A38=DATE($E$1,1,6),$A38=DATE($E$1,5,1),$A38=DATE($E$1,10,3),$A38=DATE($E$1,11,1),$A38=DATE($E$1,12,24),$A38=DATE($E$1,12,25),$A38=DATE($E$1,12,26),$A38=DATE($E$1,12,31),$A38=ROUND((DAY(MINUTE($E$1/38)/2+55)&amp;".4."&amp;$E$1)/7,)*7-6-3,$A38=ROUND((DAY(MINUTE($E$1/38)/2+55)&amp;".4."&amp;$E$1)/7,)*7-6,$A38=ROUND((DAY(MINUTE($E$1/38)/2+55)&amp;".4."&amp;$E$1)/7,)*7-6+1,$A38=ROUND((DAY(MINUTE($E$1/38)/2+55)&amp;".4."&amp;$E$1)/7,)*7-6+39,$A38=ROUND((DAY(MINUTE($E$1/38)/2+55)&amp;".4."&amp;$E$1)/7,)*7-6+50,$A38=ROUND((DAY(MINUTE($E$1/38)/2+55)&amp;".4."&amp;$E$1)/7,)*7-6+60,),"holiday","")</f>
        <v>#VALUE!</v>
      </c>
      <c r="D38" s="15"/>
      <c r="E38" s="16"/>
      <c r="F38" s="11">
        <f t="shared" si="0"/>
        <v>0</v>
      </c>
      <c r="G38" s="11">
        <f t="shared" si="1"/>
        <v>0</v>
      </c>
      <c r="H38" s="14">
        <f t="shared" si="3"/>
        <v>0</v>
      </c>
      <c r="I38" s="11"/>
    </row>
    <row r="39" spans="1:9" ht="17.25" customHeight="1">
      <c r="A39" s="10" t="str">
        <f t="shared" si="4"/>
        <v/>
      </c>
      <c r="B39" s="4" t="str">
        <f t="shared" si="2"/>
        <v/>
      </c>
      <c r="C39" s="11" t="e">
        <f>IF(OR($A39=DATE($E$1,1,1),$A39=DATE($E$1,1,6),$A39=DATE($E$1,5,1),$A39=DATE($E$1,10,3),$A39=DATE($E$1,11,1),$A39=DATE($E$1,12,24),$A39=DATE($E$1,12,25),$A39=DATE($E$1,12,26),$A39=DATE($E$1,12,31),$A39=ROUND((DAY(MINUTE($E$1/38)/2+55)&amp;".4."&amp;$E$1)/7,)*7-6-3,$A39=ROUND((DAY(MINUTE($E$1/38)/2+55)&amp;".4."&amp;$E$1)/7,)*7-6,$A39=ROUND((DAY(MINUTE($E$1/38)/2+55)&amp;".4."&amp;$E$1)/7,)*7-6+1,$A39=ROUND((DAY(MINUTE($E$1/38)/2+55)&amp;".4."&amp;$E$1)/7,)*7-6+39,$A39=ROUND((DAY(MINUTE($E$1/38)/2+55)&amp;".4."&amp;$E$1)/7,)*7-6+50,$A39=ROUND((DAY(MINUTE($E$1/38)/2+55)&amp;".4."&amp;$E$1)/7,)*7-6+60,),"holiday","")</f>
        <v>#VALUE!</v>
      </c>
      <c r="D39" s="15"/>
      <c r="E39" s="16"/>
      <c r="F39" s="11">
        <f t="shared" si="0"/>
        <v>0</v>
      </c>
      <c r="G39" s="11">
        <f t="shared" si="1"/>
        <v>0</v>
      </c>
      <c r="H39" s="14">
        <f t="shared" si="3"/>
        <v>0</v>
      </c>
      <c r="I39" s="11"/>
    </row>
    <row r="40" spans="1:9" ht="17.25" customHeight="1">
      <c r="A40" s="10" t="str">
        <f t="shared" si="4"/>
        <v/>
      </c>
      <c r="B40" s="4" t="str">
        <f t="shared" si="2"/>
        <v/>
      </c>
      <c r="C40" s="11" t="e">
        <f>IF(OR($A40=DATE($E$1,1,1),$A40=DATE($E$1,1,6),$A40=DATE($E$1,5,1),$A40=DATE($E$1,10,3),$A40=DATE($E$1,11,1),$A40=DATE($E$1,12,24),$A40=DATE($E$1,12,25),$A40=DATE($E$1,12,26),$A40=DATE($E$1,12,31),$A40=ROUND((DAY(MINUTE($E$1/38)/2+55)&amp;".4."&amp;$E$1)/7,)*7-6-3,$A40=ROUND((DAY(MINUTE($E$1/38)/2+55)&amp;".4."&amp;$E$1)/7,)*7-6,$A40=ROUND((DAY(MINUTE($E$1/38)/2+55)&amp;".4."&amp;$E$1)/7,)*7-6+1,$A40=ROUND((DAY(MINUTE($E$1/38)/2+55)&amp;".4."&amp;$E$1)/7,)*7-6+39,$A40=ROUND((DAY(MINUTE($E$1/38)/2+55)&amp;".4."&amp;$E$1)/7,)*7-6+50,$A40=ROUND((DAY(MINUTE($E$1/38)/2+55)&amp;".4."&amp;$E$1)/7,)*7-6+60,),"holiday","")</f>
        <v>#VALUE!</v>
      </c>
      <c r="D40" s="17"/>
      <c r="E40" s="18"/>
      <c r="F40" s="11">
        <f t="shared" si="0"/>
        <v>0</v>
      </c>
      <c r="G40" s="11">
        <f t="shared" si="1"/>
        <v>0</v>
      </c>
      <c r="H40" s="14">
        <f t="shared" si="3"/>
        <v>0</v>
      </c>
      <c r="I40" s="11"/>
    </row>
    <row r="41" spans="1:9" s="20" customFormat="1" ht="17.25" customHeight="1">
      <c r="A41" s="19"/>
      <c r="D41" s="21"/>
      <c r="E41" s="21"/>
      <c r="H41" s="21"/>
      <c r="I41" s="22"/>
    </row>
    <row r="42" spans="1:9" s="20" customFormat="1" ht="17.25" customHeight="1">
      <c r="C42" s="19" t="s">
        <v>22</v>
      </c>
      <c r="D42" s="23"/>
      <c r="E42" s="21"/>
      <c r="F42" s="39" t="s">
        <v>23</v>
      </c>
      <c r="G42" s="39"/>
      <c r="H42" s="8">
        <f>SUM(H10:H40)*24</f>
        <v>0</v>
      </c>
      <c r="I42" s="22"/>
    </row>
    <row r="43" spans="1:9" ht="17.25" customHeight="1">
      <c r="C43" s="4" t="s">
        <v>24</v>
      </c>
      <c r="F43" s="40" t="s">
        <v>0</v>
      </c>
      <c r="G43" s="40"/>
      <c r="H43" s="24">
        <f>H42-D6</f>
        <v>0</v>
      </c>
      <c r="I43" s="11"/>
    </row>
    <row r="44" spans="1:9" ht="17.25" customHeight="1">
      <c r="C44" s="4" t="s">
        <v>25</v>
      </c>
      <c r="D44" s="4">
        <f>COUNTIFS(C11:C41,"paid leave",B11:B41,"&lt;&gt;Sa",B11:B41,"&lt;&gt;So")</f>
        <v>0</v>
      </c>
      <c r="F44" s="36" t="s">
        <v>27</v>
      </c>
      <c r="G44" s="36"/>
      <c r="H44" s="24">
        <v>0</v>
      </c>
      <c r="I44" s="11"/>
    </row>
    <row r="45" spans="1:9" ht="17.25" customHeight="1">
      <c r="C45" s="19" t="s">
        <v>26</v>
      </c>
      <c r="D45" s="4">
        <f>D43-D44</f>
        <v>0</v>
      </c>
      <c r="F45" s="36" t="s">
        <v>29</v>
      </c>
      <c r="G45" s="36"/>
      <c r="H45" s="25"/>
      <c r="I45" s="11"/>
    </row>
    <row r="46" spans="1:9" ht="17.25" customHeight="1">
      <c r="F46" s="36" t="s">
        <v>28</v>
      </c>
      <c r="G46" s="36"/>
      <c r="H46" s="24">
        <f>SUM(H43:H45)</f>
        <v>0</v>
      </c>
      <c r="I46" s="11"/>
    </row>
    <row r="47" spans="1:9" ht="17.25" customHeight="1"/>
    <row r="48" spans="1:9" ht="17.25" customHeight="1">
      <c r="A48" s="4" t="s">
        <v>32</v>
      </c>
    </row>
    <row r="49" spans="1:9" ht="17.25" customHeight="1"/>
    <row r="50" spans="1:9" ht="17.25" customHeight="1"/>
    <row r="51" spans="1:9" ht="17.25" customHeight="1">
      <c r="A51" s="26" t="s">
        <v>30</v>
      </c>
      <c r="B51" s="27"/>
      <c r="C51" s="27"/>
      <c r="D51" s="27"/>
      <c r="F51" s="26" t="s">
        <v>31</v>
      </c>
      <c r="G51" s="27"/>
      <c r="H51" s="27"/>
      <c r="I51" s="27"/>
    </row>
  </sheetData>
  <sheetProtection algorithmName="SHA-512" hashValue="u8jzdJTJ0IEhaUMWsjD2rSaniPAszEFY+LJ8NCSp3P6tELv2FRH0jZ29alHJxXKXYpymZxiXngQJRAiqlakSNw==" saltValue="zIfoATaZCx6V+uV3f9TIFA==" spinCount="100000" sheet="1" objects="1" scenarios="1"/>
  <dataConsolidate/>
  <mergeCells count="7">
    <mergeCell ref="F45:G45"/>
    <mergeCell ref="F46:G46"/>
    <mergeCell ref="D2:H2"/>
    <mergeCell ref="D3:H3"/>
    <mergeCell ref="F42:G42"/>
    <mergeCell ref="F43:G43"/>
    <mergeCell ref="F44:G44"/>
  </mergeCells>
  <conditionalFormatting sqref="B41:C41 B10:B40">
    <cfRule type="expression" dxfId="6" priority="11">
      <formula>OR(B10="Sa",B10="So")</formula>
    </cfRule>
  </conditionalFormatting>
  <conditionalFormatting sqref="C10:C40">
    <cfRule type="expression" dxfId="5" priority="6">
      <formula>OR(C10="Sa",C10="So")</formula>
    </cfRule>
  </conditionalFormatting>
  <conditionalFormatting sqref="F10:G40">
    <cfRule type="expression" dxfId="4" priority="5">
      <formula>AND(F10&lt;&gt;0,F10&lt;15)</formula>
    </cfRule>
  </conditionalFormatting>
  <conditionalFormatting sqref="D2">
    <cfRule type="expression" dxfId="3" priority="4">
      <formula>ISBLANK(D2)</formula>
    </cfRule>
  </conditionalFormatting>
  <conditionalFormatting sqref="D3">
    <cfRule type="expression" dxfId="2" priority="3">
      <formula>ISBLANK(D3)</formula>
    </cfRule>
  </conditionalFormatting>
  <conditionalFormatting sqref="D4">
    <cfRule type="expression" dxfId="1" priority="2">
      <formula>ISBLANK(D4)</formula>
    </cfRule>
  </conditionalFormatting>
  <conditionalFormatting sqref="D42">
    <cfRule type="expression" dxfId="0" priority="1">
      <formula>ISBLANK(D42)</formula>
    </cfRule>
  </conditionalFormatting>
  <dataValidations count="3">
    <dataValidation type="whole" allowBlank="1" showInputMessage="1" showErrorMessage="1" sqref="E1">
      <formula1>2018</formula1>
      <formula2>2039</formula2>
    </dataValidation>
    <dataValidation type="whole" allowBlank="1" showInputMessage="1" showErrorMessage="1" sqref="D1">
      <formula1>1</formula1>
      <formula2>12</formula2>
    </dataValidation>
    <dataValidation type="list" allowBlank="1" showInputMessage="1" showErrorMessage="1" error="Es können nur Einträge aus der Liste erfolgen" sqref="C10:C40">
      <formula1>frei</formula1>
    </dataValidation>
  </dataValidations>
  <pageMargins left="0.82677165354330717" right="0.23622047244094491" top="0.74803149606299213" bottom="0.74803149606299213" header="0.31496062992125984" footer="0.31496062992125984"/>
  <pageSetup paperSize="9" scale="80"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2</vt:i4>
      </vt:variant>
      <vt:variant>
        <vt:lpstr>Benannte Bereiche</vt:lpstr>
      </vt:variant>
      <vt:variant>
        <vt:i4>2</vt:i4>
      </vt:variant>
    </vt:vector>
  </HeadingPairs>
  <TitlesOfParts>
    <vt:vector size="4" baseType="lpstr">
      <vt:lpstr>info</vt:lpstr>
      <vt:lpstr>M01.2020</vt:lpstr>
      <vt:lpstr>M01.2020!Druckbereich</vt:lpstr>
      <vt:lpstr>frei</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error on line 1</dc:creator>
  <cp:lastModifiedBy>Boris Bertram</cp:lastModifiedBy>
  <cp:lastPrinted>2019-12-05T07:51:32Z</cp:lastPrinted>
  <dcterms:created xsi:type="dcterms:W3CDTF">2006-09-16T00:00:00Z</dcterms:created>
  <dcterms:modified xsi:type="dcterms:W3CDTF">2020-01-17T20:52:02Z</dcterms:modified>
</cp:coreProperties>
</file>