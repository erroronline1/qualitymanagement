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code\erroronline.one\column3\aqms\timetables\"/>
    </mc:Choice>
  </mc:AlternateContent>
  <bookViews>
    <workbookView xWindow="0" yWindow="0" windowWidth="28800" windowHeight="11625" firstSheet="1" activeTab="1"/>
  </bookViews>
  <sheets>
    <sheet name="settings" sheetId="15" state="veryHidden" r:id="rId1"/>
    <sheet name="info" sheetId="11" r:id="rId2"/>
    <sheet name="M01.2020" sheetId="6" r:id="rId3"/>
  </sheets>
  <functionGroups builtInGroupCount="18"/>
  <definedNames>
    <definedName name="absence">info!$A$10:$A$18</definedName>
    <definedName name="_xlnm.Print_Area" localSheetId="2">'M01.2020'!$A$1:$I$52</definedName>
  </definedNames>
  <calcPr calcId="152511"/>
</workbook>
</file>

<file path=xl/calcChain.xml><?xml version="1.0" encoding="utf-8"?>
<calcChain xmlns="http://schemas.openxmlformats.org/spreadsheetml/2006/main">
  <c r="G41" i="6" l="1"/>
  <c r="F41" i="6" s="1"/>
  <c r="G40" i="6"/>
  <c r="F40" i="6" s="1"/>
  <c r="G39" i="6"/>
  <c r="F39" i="6" s="1"/>
  <c r="G38" i="6"/>
  <c r="F38" i="6" s="1"/>
  <c r="G37" i="6"/>
  <c r="F37" i="6" s="1"/>
  <c r="G36" i="6"/>
  <c r="F36" i="6" s="1"/>
  <c r="G35" i="6"/>
  <c r="F35" i="6" s="1"/>
  <c r="G34" i="6"/>
  <c r="F34" i="6" s="1"/>
  <c r="G33" i="6"/>
  <c r="F33" i="6"/>
  <c r="G32" i="6"/>
  <c r="F32" i="6" s="1"/>
  <c r="G31" i="6"/>
  <c r="F31" i="6" s="1"/>
  <c r="G30" i="6"/>
  <c r="F30" i="6" s="1"/>
  <c r="G29" i="6"/>
  <c r="F29" i="6" s="1"/>
  <c r="G28" i="6"/>
  <c r="F28" i="6" s="1"/>
  <c r="G27" i="6"/>
  <c r="F27" i="6" s="1"/>
  <c r="G26" i="6"/>
  <c r="F26" i="6" s="1"/>
  <c r="G25" i="6"/>
  <c r="F25" i="6"/>
  <c r="G24" i="6"/>
  <c r="F24" i="6" s="1"/>
  <c r="G23" i="6"/>
  <c r="F23" i="6" s="1"/>
  <c r="G22" i="6"/>
  <c r="F22" i="6" s="1"/>
  <c r="G21" i="6"/>
  <c r="F21" i="6" s="1"/>
  <c r="G20" i="6"/>
  <c r="F20" i="6" s="1"/>
  <c r="G19" i="6"/>
  <c r="F19" i="6" s="1"/>
  <c r="G18" i="6"/>
  <c r="F18" i="6" s="1"/>
  <c r="G17" i="6"/>
  <c r="F17" i="6" s="1"/>
  <c r="G16" i="6"/>
  <c r="F16" i="6" s="1"/>
  <c r="G15" i="6"/>
  <c r="F15" i="6" s="1"/>
  <c r="G14" i="6"/>
  <c r="F14" i="6" s="1"/>
  <c r="G13" i="6"/>
  <c r="F13" i="6"/>
  <c r="G12" i="6"/>
  <c r="F12" i="6" s="1"/>
  <c r="G11" i="6"/>
  <c r="F11" i="6" s="1"/>
  <c r="A11" i="6"/>
  <c r="B11" i="6" s="1"/>
  <c r="C41" i="6"/>
  <c r="C13" i="6"/>
  <c r="D6" i="6"/>
  <c r="C11" i="6"/>
  <c r="C12" i="6"/>
  <c r="H21" i="6"/>
  <c r="H15" i="6"/>
  <c r="H26" i="6"/>
  <c r="H14" i="6"/>
  <c r="H27" i="6"/>
  <c r="H37" i="6"/>
  <c r="H29" i="6"/>
  <c r="D45" i="6"/>
  <c r="H36" i="6"/>
  <c r="H40" i="6"/>
  <c r="H33" i="6"/>
  <c r="H25" i="6"/>
  <c r="H28" i="6"/>
  <c r="H23" i="6"/>
  <c r="H39" i="6"/>
  <c r="H32" i="6"/>
  <c r="H22" i="6"/>
  <c r="H18" i="6"/>
  <c r="H30" i="6"/>
  <c r="H34" i="6"/>
  <c r="H17" i="6"/>
  <c r="H12" i="6"/>
  <c r="H11" i="6"/>
  <c r="H24" i="6"/>
  <c r="D8" i="6"/>
  <c r="H13" i="6"/>
  <c r="H38" i="6"/>
  <c r="H19" i="6"/>
  <c r="H31" i="6"/>
  <c r="H20" i="6"/>
  <c r="H16" i="6"/>
  <c r="H35" i="6"/>
  <c r="H41" i="6"/>
  <c r="A12" i="6" l="1"/>
  <c r="A13" i="6" s="1"/>
  <c r="B13" i="6" s="1"/>
  <c r="D46" i="6"/>
  <c r="D7" i="6"/>
  <c r="H43" i="6"/>
  <c r="C14" i="6"/>
  <c r="B12" i="6" l="1"/>
  <c r="A14" i="6"/>
  <c r="A15" i="6" s="1"/>
  <c r="H44" i="6"/>
  <c r="H47" i="6" s="1"/>
  <c r="C15" i="6"/>
  <c r="B14" i="6" l="1"/>
  <c r="B15" i="6"/>
  <c r="A16" i="6"/>
  <c r="C16" i="6"/>
  <c r="A17" i="6" l="1"/>
  <c r="B16" i="6"/>
  <c r="C17" i="6"/>
  <c r="B17" i="6" l="1"/>
  <c r="A18" i="6"/>
  <c r="C18" i="6"/>
  <c r="A19" i="6" l="1"/>
  <c r="B18" i="6"/>
  <c r="C19" i="6"/>
  <c r="B19" i="6" l="1"/>
  <c r="A20" i="6"/>
  <c r="C20" i="6"/>
  <c r="A21" i="6" l="1"/>
  <c r="B20" i="6"/>
  <c r="C21" i="6"/>
  <c r="B21" i="6" l="1"/>
  <c r="A22" i="6"/>
  <c r="C22" i="6"/>
  <c r="A23" i="6" l="1"/>
  <c r="B22" i="6"/>
  <c r="C23" i="6"/>
  <c r="B23" i="6" l="1"/>
  <c r="A24" i="6"/>
  <c r="C24" i="6"/>
  <c r="A25" i="6" l="1"/>
  <c r="B24" i="6"/>
  <c r="C25" i="6"/>
  <c r="B25" i="6" l="1"/>
  <c r="A26" i="6"/>
  <c r="C26" i="6"/>
  <c r="A27" i="6" l="1"/>
  <c r="B26" i="6"/>
  <c r="C27" i="6"/>
  <c r="B27" i="6" l="1"/>
  <c r="A28" i="6"/>
  <c r="C28" i="6"/>
  <c r="A29" i="6" l="1"/>
  <c r="B28" i="6"/>
  <c r="C29" i="6"/>
  <c r="B29" i="6" l="1"/>
  <c r="A30" i="6"/>
  <c r="C30" i="6"/>
  <c r="A31" i="6" l="1"/>
  <c r="B30" i="6"/>
  <c r="C31" i="6"/>
  <c r="B31" i="6" l="1"/>
  <c r="A32" i="6"/>
  <c r="C32" i="6"/>
  <c r="A33" i="6" l="1"/>
  <c r="B32" i="6"/>
  <c r="C33" i="6"/>
  <c r="B33" i="6" l="1"/>
  <c r="A34" i="6"/>
  <c r="C34" i="6"/>
  <c r="A35" i="6" l="1"/>
  <c r="B34" i="6"/>
  <c r="C35" i="6"/>
  <c r="B35" i="6" l="1"/>
  <c r="A36" i="6"/>
  <c r="C36" i="6"/>
  <c r="A37" i="6" l="1"/>
  <c r="B36" i="6"/>
  <c r="C37" i="6"/>
  <c r="B37" i="6" l="1"/>
  <c r="A38" i="6"/>
  <c r="C38" i="6"/>
  <c r="A39" i="6" l="1"/>
  <c r="B38" i="6"/>
  <c r="C39" i="6"/>
  <c r="B39" i="6" l="1"/>
  <c r="A40" i="6"/>
  <c r="C40" i="6"/>
  <c r="A41" i="6" l="1"/>
  <c r="B40" i="6"/>
  <c r="B41" i="6" l="1"/>
</calcChain>
</file>

<file path=xl/sharedStrings.xml><?xml version="1.0" encoding="utf-8"?>
<sst xmlns="http://schemas.openxmlformats.org/spreadsheetml/2006/main" count="51" uniqueCount="51">
  <si>
    <t>PlusMinus</t>
  </si>
  <si>
    <t>userpass</t>
  </si>
  <si>
    <t>masterpass</t>
  </si>
  <si>
    <t>rohgezimmert.umgebundenChefdenkerbauseitig</t>
  </si>
  <si>
    <t>Timetable for</t>
  </si>
  <si>
    <t>Surname, Name</t>
  </si>
  <si>
    <t>Department</t>
  </si>
  <si>
    <t>Weekly time</t>
  </si>
  <si>
    <t>Net. working days</t>
  </si>
  <si>
    <t>Calculated dayly hours</t>
  </si>
  <si>
    <t>Calculated monthly hours</t>
  </si>
  <si>
    <t>Date</t>
  </si>
  <si>
    <t>Day</t>
  </si>
  <si>
    <t>Excemptions</t>
  </si>
  <si>
    <t>Start</t>
  </si>
  <si>
    <t>End</t>
  </si>
  <si>
    <t>Breakfast</t>
  </si>
  <si>
    <t>Lunch</t>
  </si>
  <si>
    <t>Worktime</t>
  </si>
  <si>
    <t>Comment</t>
  </si>
  <si>
    <t>Annual leave</t>
  </si>
  <si>
    <t>Sum</t>
  </si>
  <si>
    <t>Previous remainder</t>
  </si>
  <si>
    <t>Leave</t>
  </si>
  <si>
    <t>Remaining leave</t>
  </si>
  <si>
    <t>Previous hours</t>
  </si>
  <si>
    <t>total</t>
  </si>
  <si>
    <t>Correctional value</t>
  </si>
  <si>
    <t>Signature employee</t>
  </si>
  <si>
    <t>Signature Supervisor</t>
  </si>
  <si>
    <t>business trip</t>
  </si>
  <si>
    <t>vocational school</t>
  </si>
  <si>
    <t>Exemptions</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</si>
  <si>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</si>
  <si>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</si>
  <si>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</si>
  <si>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</si>
  <si>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</si>
  <si>
    <t>unlocked</t>
  </si>
  <si>
    <t>see comment</t>
  </si>
  <si>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Start and End time
Creaks
Comments (e.g. justification for overime or time off in lieu)
</t>
    </r>
  </si>
  <si>
    <t>Stunden</t>
  </si>
  <si>
    <t>Mo, Di, Mi, Do, Fr</t>
  </si>
  <si>
    <t>Working Days</t>
  </si>
  <si>
    <t>(Mon - Sun, abbreviation as in Day, comma separated, if applicable)</t>
  </si>
  <si>
    <t>The employee is responsible for the veracity of the information.</t>
  </si>
  <si>
    <t>Sick</t>
  </si>
  <si>
    <t>Vacation</t>
  </si>
  <si>
    <t>public holiday</t>
  </si>
  <si>
    <t>parantal leave</t>
  </si>
  <si>
    <t>overtime compensation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</si>
</sst>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9">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1">
    <xf numFmtId="0" fontId="0" fillId="0" borderId="0"/>
  </cellStyleXfs>
  <cellXfs count="45">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2" fillId="0" borderId="0" xfId="0" applyFont="1" applyAlignment="1">
      <alignment horizontal="left"/>
    </xf>
    <xf numFmtId="0" fontId="8" fillId="0" borderId="0" xfId="0" applyFont="1"/>
    <xf numFmtId="164" fontId="2" fillId="0" borderId="3" xfId="0" applyNumberFormat="1" applyFont="1" applyFill="1" applyBorder="1"/>
    <xf numFmtId="164" fontId="2" fillId="0" borderId="6" xfId="0" applyNumberFormat="1" applyFont="1" applyFill="1" applyBorder="1"/>
    <xf numFmtId="0" fontId="0" fillId="0" borderId="0" xfId="0" applyFont="1"/>
    <xf numFmtId="16" fontId="0" fillId="0" borderId="0" xfId="0" applyNumberFormat="1" applyFont="1"/>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1">
    <cellStyle name="Standard" xfId="0" builtinId="0"/>
  </cellStyles>
  <dxfs count="3">
    <dxf>
      <fill>
        <patternFill>
          <bgColor theme="5" tint="0.59996337778862885"/>
        </patternFill>
      </fill>
    </dxf>
    <dxf>
      <font>
        <color rgb="FFFFC000"/>
      </font>
    </dxf>
    <dxf>
      <fill>
        <patternFill>
          <bgColor theme="0" tint="-0.24994659260841701"/>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3" sqref="B3:D3"/>
    </sheetView>
  </sheetViews>
  <sheetFormatPr baseColWidth="10" defaultRowHeight="14.25"/>
  <cols>
    <col min="3" max="3" width="17" customWidth="1"/>
  </cols>
  <sheetData>
    <row r="1" spans="1:3">
      <c r="A1" t="s">
        <v>2</v>
      </c>
      <c r="B1" t="s">
        <v>3</v>
      </c>
    </row>
    <row r="2" spans="1:3">
      <c r="A2" t="s">
        <v>38</v>
      </c>
      <c r="B2">
        <v>0</v>
      </c>
      <c r="C2">
        <v>0</v>
      </c>
    </row>
    <row r="3" spans="1:3">
      <c r="A3" t="s">
        <v>1</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3"/>
  <sheetViews>
    <sheetView tabSelected="1" zoomScale="130" zoomScaleNormal="130" workbookViewId="0">
      <selection sqref="A1:F1"/>
    </sheetView>
  </sheetViews>
  <sheetFormatPr baseColWidth="10" defaultRowHeight="14.25"/>
  <cols>
    <col min="1" max="1" width="22" customWidth="1"/>
  </cols>
  <sheetData>
    <row r="1" spans="1:11" ht="89.25" customHeight="1">
      <c r="A1" s="39" t="s">
        <v>33</v>
      </c>
      <c r="B1" s="39"/>
      <c r="C1" s="39"/>
      <c r="D1" s="39"/>
      <c r="E1" s="39"/>
      <c r="F1" s="39"/>
      <c r="G1" s="30"/>
      <c r="H1" s="30"/>
      <c r="I1" s="30"/>
      <c r="J1" s="30"/>
      <c r="K1" s="30"/>
    </row>
    <row r="2" spans="1:11" ht="73.5" customHeight="1">
      <c r="A2" s="39" t="s">
        <v>34</v>
      </c>
      <c r="B2" s="39"/>
      <c r="C2" s="39"/>
      <c r="D2" s="39"/>
      <c r="E2" s="39"/>
      <c r="F2" s="39"/>
      <c r="G2" s="30"/>
      <c r="H2" s="30"/>
      <c r="I2" s="30"/>
      <c r="J2" s="30"/>
      <c r="K2" s="30"/>
    </row>
    <row r="3" spans="1:11" ht="106.15" customHeight="1">
      <c r="A3" s="39" t="s">
        <v>35</v>
      </c>
      <c r="B3" s="39"/>
      <c r="C3" s="39"/>
      <c r="D3" s="39"/>
      <c r="E3" s="39"/>
      <c r="F3" s="39"/>
      <c r="G3" s="30"/>
      <c r="H3" s="30"/>
      <c r="I3" s="30"/>
      <c r="J3" s="30"/>
      <c r="K3" s="30"/>
    </row>
    <row r="4" spans="1:11" ht="161.65" customHeight="1">
      <c r="A4" s="39" t="s">
        <v>40</v>
      </c>
      <c r="B4" s="39"/>
      <c r="C4" s="39"/>
      <c r="D4" s="39"/>
      <c r="E4" s="39"/>
      <c r="F4" s="39"/>
      <c r="G4" s="30"/>
      <c r="H4" s="30"/>
      <c r="I4" s="30"/>
      <c r="J4" s="30"/>
      <c r="K4" s="30"/>
    </row>
    <row r="5" spans="1:11" ht="91.15" customHeight="1">
      <c r="A5" s="39" t="s">
        <v>36</v>
      </c>
      <c r="B5" s="39"/>
      <c r="C5" s="39"/>
      <c r="D5" s="39"/>
      <c r="E5" s="39"/>
      <c r="F5" s="39"/>
      <c r="G5" s="30"/>
      <c r="H5" s="30"/>
      <c r="I5" s="30"/>
      <c r="J5" s="30"/>
      <c r="K5" s="30"/>
    </row>
    <row r="6" spans="1:11" ht="61.9" customHeight="1">
      <c r="A6" s="39" t="s">
        <v>37</v>
      </c>
      <c r="B6" s="39"/>
      <c r="C6" s="39"/>
      <c r="D6" s="39"/>
      <c r="E6" s="39"/>
      <c r="F6" s="39"/>
      <c r="G6" s="30"/>
      <c r="H6" s="30"/>
      <c r="I6" s="30"/>
      <c r="J6" s="30"/>
      <c r="K6" s="30"/>
    </row>
    <row r="7" spans="1:11" ht="13.5" customHeight="1"/>
    <row r="8" spans="1:11" ht="13.9" customHeight="1"/>
    <row r="9" spans="1:11">
      <c r="A9" s="2" t="s">
        <v>32</v>
      </c>
    </row>
    <row r="11" spans="1:11">
      <c r="A11" t="s">
        <v>46</v>
      </c>
    </row>
    <row r="12" spans="1:11">
      <c r="A12" t="s">
        <v>47</v>
      </c>
    </row>
    <row r="13" spans="1:11">
      <c r="A13" t="s">
        <v>50</v>
      </c>
    </row>
    <row r="14" spans="1:11">
      <c r="A14" t="s">
        <v>48</v>
      </c>
    </row>
    <row r="15" spans="1:11">
      <c r="A15" t="s">
        <v>31</v>
      </c>
    </row>
    <row r="16" spans="1:11">
      <c r="A16" t="s">
        <v>30</v>
      </c>
    </row>
    <row r="17" spans="1:2">
      <c r="A17" t="s">
        <v>49</v>
      </c>
    </row>
    <row r="18" spans="1:2">
      <c r="A18" s="37" t="s">
        <v>39</v>
      </c>
    </row>
    <row r="19" spans="1:2">
      <c r="A19" s="38"/>
      <c r="B19" s="31"/>
    </row>
    <row r="20" spans="1:2">
      <c r="A20" s="38"/>
      <c r="B20" s="31"/>
    </row>
    <row r="21" spans="1:2">
      <c r="A21" s="37"/>
      <c r="B21" s="32"/>
    </row>
    <row r="22" spans="1:2">
      <c r="A22" s="37"/>
      <c r="B22" s="32"/>
    </row>
    <row r="23" spans="1:2">
      <c r="A23" s="37"/>
      <c r="B23" s="31"/>
    </row>
    <row r="24" spans="1:2">
      <c r="A24" s="37"/>
      <c r="B24" s="32"/>
    </row>
    <row r="25" spans="1:2">
      <c r="B25" s="32"/>
    </row>
    <row r="26" spans="1:2">
      <c r="B26" s="32"/>
    </row>
    <row r="27" spans="1:2">
      <c r="B27" s="31"/>
    </row>
    <row r="28" spans="1:2">
      <c r="B28" s="31"/>
    </row>
    <row r="29" spans="1:2">
      <c r="B29" s="31"/>
    </row>
    <row r="30" spans="1:2">
      <c r="B30" s="31"/>
    </row>
    <row r="31" spans="1:2">
      <c r="B31" s="31"/>
    </row>
    <row r="32" spans="1:2">
      <c r="B32" s="31"/>
    </row>
    <row r="33" spans="2:2">
      <c r="B33" s="1"/>
    </row>
  </sheetData>
  <sheetProtection algorithmName="SHA-512" hashValue="rtySnhNzY/3jbGHW0fi0SVDzfq9ksBIxHgAJI0ekp24lcnbTvBDe+ev8BzUrw0udsYTgbwFZeRbNH3WrKPsVWw==" saltValue="eiTvelsvztj3FUwpqDMgYQ==" spinCount="100000" sheet="1" objects="1" scenarios="1"/>
  <mergeCells count="6">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zoomScale="115" zoomScaleNormal="115" zoomScaleSheetLayoutView="100" workbookViewId="0">
      <selection activeCell="M27" sqref="M27"/>
    </sheetView>
  </sheetViews>
  <sheetFormatPr baseColWidth="10" defaultColWidth="9"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 style="4"/>
  </cols>
  <sheetData>
    <row r="1" spans="1:9" ht="17.649999999999999">
      <c r="A1" s="26" t="s">
        <v>4</v>
      </c>
      <c r="B1" s="26"/>
      <c r="C1" s="27"/>
      <c r="D1" s="28"/>
      <c r="E1" s="28"/>
      <c r="F1" s="26"/>
      <c r="G1" s="26"/>
      <c r="H1" s="26"/>
      <c r="I1" s="26"/>
    </row>
    <row r="2" spans="1:9" ht="17.25">
      <c r="A2" s="26" t="s">
        <v>5</v>
      </c>
      <c r="B2" s="26"/>
      <c r="C2" s="26"/>
      <c r="D2" s="41"/>
      <c r="E2" s="41"/>
      <c r="F2" s="41"/>
      <c r="G2" s="41"/>
      <c r="H2" s="41"/>
      <c r="I2" s="29"/>
    </row>
    <row r="3" spans="1:9" ht="17.25" customHeight="1">
      <c r="A3" s="4" t="s">
        <v>6</v>
      </c>
      <c r="D3" s="42"/>
      <c r="E3" s="42"/>
      <c r="F3" s="42"/>
      <c r="G3" s="42"/>
      <c r="H3" s="42"/>
      <c r="I3" s="5"/>
    </row>
    <row r="4" spans="1:9" ht="17.25" customHeight="1">
      <c r="A4" s="4" t="s">
        <v>7</v>
      </c>
      <c r="C4" s="6"/>
      <c r="D4" s="21"/>
      <c r="E4" s="7" t="s">
        <v>41</v>
      </c>
    </row>
    <row r="5" spans="1:9" ht="17.25" customHeight="1">
      <c r="A5" s="6" t="s">
        <v>43</v>
      </c>
      <c r="C5" s="7"/>
      <c r="D5" s="4" t="s">
        <v>42</v>
      </c>
      <c r="E5" s="7"/>
      <c r="G5" s="34" t="s">
        <v>44</v>
      </c>
    </row>
    <row r="6" spans="1:9" ht="17.25" customHeight="1">
      <c r="A6" s="33" t="s">
        <v>9</v>
      </c>
      <c r="C6" s="6"/>
      <c r="D6" s="4">
        <f>D4/workDaysNum(D5)</f>
        <v>0</v>
      </c>
      <c r="E6" s="7"/>
    </row>
    <row r="7" spans="1:9" ht="17.25" customHeight="1">
      <c r="A7" s="33" t="s">
        <v>10</v>
      </c>
      <c r="C7" s="6"/>
      <c r="D7" s="8">
        <f ca="1">D6*D8</f>
        <v>0</v>
      </c>
      <c r="E7" s="6"/>
      <c r="F7" s="6"/>
    </row>
    <row r="8" spans="1:9" ht="17.25" customHeight="1">
      <c r="A8" s="4" t="s">
        <v>8</v>
      </c>
      <c r="D8" s="4">
        <f ca="1">countDays(D5, "workdays")</f>
        <v>0</v>
      </c>
      <c r="H8" s="9"/>
    </row>
    <row r="9" spans="1:9" ht="17.25" customHeight="1"/>
    <row r="10" spans="1:9" ht="17.25" customHeight="1">
      <c r="A10" s="4" t="s">
        <v>11</v>
      </c>
      <c r="B10" s="4" t="s">
        <v>12</v>
      </c>
      <c r="C10" s="4" t="s">
        <v>13</v>
      </c>
      <c r="D10" s="4" t="s">
        <v>14</v>
      </c>
      <c r="E10" s="4" t="s">
        <v>15</v>
      </c>
      <c r="F10" s="4" t="s">
        <v>16</v>
      </c>
      <c r="G10" s="4" t="s">
        <v>17</v>
      </c>
      <c r="H10" s="4" t="s">
        <v>18</v>
      </c>
      <c r="I10" s="4" t="s">
        <v>19</v>
      </c>
    </row>
    <row r="11" spans="1:9" ht="17.25" customHeight="1">
      <c r="A11" s="10" t="e">
        <f>DATE(E1,D1,1)</f>
        <v>#NUM!</v>
      </c>
      <c r="B11" s="4" t="e">
        <f>TEXT(A11,"TTT")</f>
        <v>#NUM!</v>
      </c>
      <c r="C11" s="11" t="str">
        <f t="shared" ref="C11:C39" si="0">publicHolidays(A11)</f>
        <v/>
      </c>
      <c r="D11" s="12"/>
      <c r="E11" s="13"/>
      <c r="F11" s="11">
        <f t="shared" ref="F11:F41" si="1">IF(E11-D11-(G11/60/24)&gt;9/24,15,0)</f>
        <v>0</v>
      </c>
      <c r="G11" s="11">
        <f t="shared" ref="G11:G41" si="2">IF(E11-D11&gt;6/24,30,0)</f>
        <v>0</v>
      </c>
      <c r="H11" s="14">
        <f ca="1">calcHours(D11,E11,F11,G11)</f>
        <v>0</v>
      </c>
      <c r="I11" s="11"/>
    </row>
    <row r="12" spans="1:9" ht="17.25" customHeight="1">
      <c r="A12" s="10" t="str">
        <f>IFERROR(IF(AND(A11&lt;&gt;"",A11+1&lt;=EOMONTH(A11,0)),A11+1,""),"")</f>
        <v/>
      </c>
      <c r="B12" s="4" t="str">
        <f t="shared" ref="B12:B41" si="3">TEXT(A12,"TTT")</f>
        <v/>
      </c>
      <c r="C12" s="11" t="str">
        <f t="shared" si="0"/>
        <v/>
      </c>
      <c r="D12" s="15"/>
      <c r="E12" s="16"/>
      <c r="F12" s="11">
        <f t="shared" si="1"/>
        <v>0</v>
      </c>
      <c r="G12" s="11">
        <f t="shared" si="2"/>
        <v>0</v>
      </c>
      <c r="H12" s="14">
        <f t="shared" ref="H12:H16" ca="1" si="4">calcHours(D12,E12,F12,G12)</f>
        <v>0</v>
      </c>
      <c r="I12" s="11"/>
    </row>
    <row r="13" spans="1:9" ht="17.25" customHeight="1">
      <c r="A13" s="10" t="str">
        <f t="shared" ref="A13:A41" si="5">IFERROR(IF(AND(A12&lt;&gt;"",A12+1&lt;=EOMONTH(A12,0)),A12+1,""),"")</f>
        <v/>
      </c>
      <c r="B13" s="4" t="str">
        <f t="shared" si="3"/>
        <v/>
      </c>
      <c r="C13" s="11" t="str">
        <f t="shared" si="0"/>
        <v/>
      </c>
      <c r="D13" s="15"/>
      <c r="E13" s="16"/>
      <c r="F13" s="11">
        <f t="shared" si="1"/>
        <v>0</v>
      </c>
      <c r="G13" s="11">
        <f t="shared" si="2"/>
        <v>0</v>
      </c>
      <c r="H13" s="14">
        <f t="shared" ca="1" si="4"/>
        <v>0</v>
      </c>
      <c r="I13" s="11"/>
    </row>
    <row r="14" spans="1:9" ht="17.25" customHeight="1">
      <c r="A14" s="10" t="str">
        <f t="shared" si="5"/>
        <v/>
      </c>
      <c r="B14" s="4" t="str">
        <f t="shared" si="3"/>
        <v/>
      </c>
      <c r="C14" s="11" t="str">
        <f t="shared" si="0"/>
        <v/>
      </c>
      <c r="D14" s="15"/>
      <c r="E14" s="16"/>
      <c r="F14" s="11">
        <f t="shared" si="1"/>
        <v>0</v>
      </c>
      <c r="G14" s="11">
        <f t="shared" si="2"/>
        <v>0</v>
      </c>
      <c r="H14" s="14">
        <f t="shared" ca="1" si="4"/>
        <v>0</v>
      </c>
      <c r="I14" s="11"/>
    </row>
    <row r="15" spans="1:9" ht="17.25" customHeight="1">
      <c r="A15" s="10" t="str">
        <f t="shared" si="5"/>
        <v/>
      </c>
      <c r="B15" s="4" t="str">
        <f t="shared" si="3"/>
        <v/>
      </c>
      <c r="C15" s="11" t="str">
        <f t="shared" si="0"/>
        <v/>
      </c>
      <c r="D15" s="15"/>
      <c r="E15" s="16"/>
      <c r="F15" s="11">
        <f t="shared" si="1"/>
        <v>0</v>
      </c>
      <c r="G15" s="11">
        <f t="shared" si="2"/>
        <v>0</v>
      </c>
      <c r="H15" s="14">
        <f t="shared" ca="1" si="4"/>
        <v>0</v>
      </c>
      <c r="I15" s="11"/>
    </row>
    <row r="16" spans="1:9" ht="17.25" customHeight="1">
      <c r="A16" s="10" t="str">
        <f t="shared" si="5"/>
        <v/>
      </c>
      <c r="B16" s="4" t="str">
        <f t="shared" si="3"/>
        <v/>
      </c>
      <c r="C16" s="11" t="str">
        <f t="shared" si="0"/>
        <v/>
      </c>
      <c r="D16" s="15"/>
      <c r="E16" s="16"/>
      <c r="F16" s="11">
        <f t="shared" si="1"/>
        <v>0</v>
      </c>
      <c r="G16" s="11">
        <f t="shared" si="2"/>
        <v>0</v>
      </c>
      <c r="H16" s="14">
        <f t="shared" ca="1" si="4"/>
        <v>0</v>
      </c>
      <c r="I16" s="11"/>
    </row>
    <row r="17" spans="1:9" ht="17.25" customHeight="1">
      <c r="A17" s="10" t="str">
        <f t="shared" si="5"/>
        <v/>
      </c>
      <c r="B17" s="4" t="str">
        <f t="shared" si="3"/>
        <v/>
      </c>
      <c r="C17" s="11" t="str">
        <f t="shared" si="0"/>
        <v/>
      </c>
      <c r="D17" s="15"/>
      <c r="E17" s="16"/>
      <c r="F17" s="11">
        <f t="shared" si="1"/>
        <v>0</v>
      </c>
      <c r="G17" s="11">
        <f t="shared" si="2"/>
        <v>0</v>
      </c>
      <c r="H17" s="14">
        <f t="shared" ref="H17:H41" ca="1" si="6">calcHours(D17,E17,F17,G17)</f>
        <v>0</v>
      </c>
      <c r="I17" s="11"/>
    </row>
    <row r="18" spans="1:9" ht="17.25" customHeight="1">
      <c r="A18" s="10" t="str">
        <f t="shared" si="5"/>
        <v/>
      </c>
      <c r="B18" s="4" t="str">
        <f t="shared" si="3"/>
        <v/>
      </c>
      <c r="C18" s="11" t="str">
        <f t="shared" si="0"/>
        <v/>
      </c>
      <c r="D18" s="15"/>
      <c r="E18" s="16"/>
      <c r="F18" s="11">
        <f t="shared" si="1"/>
        <v>0</v>
      </c>
      <c r="G18" s="11">
        <f t="shared" si="2"/>
        <v>0</v>
      </c>
      <c r="H18" s="14">
        <f t="shared" ca="1" si="6"/>
        <v>0</v>
      </c>
      <c r="I18" s="11"/>
    </row>
    <row r="19" spans="1:9" ht="17.25" customHeight="1">
      <c r="A19" s="10" t="str">
        <f t="shared" si="5"/>
        <v/>
      </c>
      <c r="B19" s="4" t="str">
        <f t="shared" si="3"/>
        <v/>
      </c>
      <c r="C19" s="11" t="str">
        <f t="shared" si="0"/>
        <v/>
      </c>
      <c r="D19" s="15"/>
      <c r="E19" s="16"/>
      <c r="F19" s="11">
        <f t="shared" si="1"/>
        <v>0</v>
      </c>
      <c r="G19" s="11">
        <f t="shared" si="2"/>
        <v>0</v>
      </c>
      <c r="H19" s="14">
        <f t="shared" ca="1" si="6"/>
        <v>0</v>
      </c>
      <c r="I19" s="11"/>
    </row>
    <row r="20" spans="1:9" ht="17.25" customHeight="1">
      <c r="A20" s="10" t="str">
        <f t="shared" si="5"/>
        <v/>
      </c>
      <c r="B20" s="4" t="str">
        <f t="shared" si="3"/>
        <v/>
      </c>
      <c r="C20" s="11" t="str">
        <f t="shared" si="0"/>
        <v/>
      </c>
      <c r="D20" s="15"/>
      <c r="E20" s="16"/>
      <c r="F20" s="11">
        <f t="shared" si="1"/>
        <v>0</v>
      </c>
      <c r="G20" s="11">
        <f t="shared" si="2"/>
        <v>0</v>
      </c>
      <c r="H20" s="14">
        <f t="shared" ca="1" si="6"/>
        <v>0</v>
      </c>
      <c r="I20" s="11"/>
    </row>
    <row r="21" spans="1:9" ht="17.25" customHeight="1">
      <c r="A21" s="10" t="str">
        <f t="shared" si="5"/>
        <v/>
      </c>
      <c r="B21" s="4" t="str">
        <f t="shared" si="3"/>
        <v/>
      </c>
      <c r="C21" s="11" t="str">
        <f t="shared" si="0"/>
        <v/>
      </c>
      <c r="D21" s="15"/>
      <c r="E21" s="16"/>
      <c r="F21" s="11">
        <f t="shared" si="1"/>
        <v>0</v>
      </c>
      <c r="G21" s="11">
        <f t="shared" si="2"/>
        <v>0</v>
      </c>
      <c r="H21" s="14">
        <f t="shared" ca="1" si="6"/>
        <v>0</v>
      </c>
      <c r="I21" s="11"/>
    </row>
    <row r="22" spans="1:9" ht="17.25" customHeight="1">
      <c r="A22" s="10" t="str">
        <f t="shared" si="5"/>
        <v/>
      </c>
      <c r="B22" s="4" t="str">
        <f t="shared" si="3"/>
        <v/>
      </c>
      <c r="C22" s="11" t="str">
        <f t="shared" si="0"/>
        <v/>
      </c>
      <c r="D22" s="15"/>
      <c r="E22" s="16"/>
      <c r="F22" s="11">
        <f t="shared" si="1"/>
        <v>0</v>
      </c>
      <c r="G22" s="11">
        <f t="shared" si="2"/>
        <v>0</v>
      </c>
      <c r="H22" s="14">
        <f t="shared" ca="1" si="6"/>
        <v>0</v>
      </c>
      <c r="I22" s="11"/>
    </row>
    <row r="23" spans="1:9" ht="17.25" customHeight="1">
      <c r="A23" s="10" t="str">
        <f t="shared" si="5"/>
        <v/>
      </c>
      <c r="B23" s="4" t="str">
        <f t="shared" si="3"/>
        <v/>
      </c>
      <c r="C23" s="11" t="str">
        <f t="shared" si="0"/>
        <v/>
      </c>
      <c r="D23" s="15"/>
      <c r="E23" s="16"/>
      <c r="F23" s="11">
        <f t="shared" si="1"/>
        <v>0</v>
      </c>
      <c r="G23" s="11">
        <f t="shared" si="2"/>
        <v>0</v>
      </c>
      <c r="H23" s="14">
        <f t="shared" ca="1" si="6"/>
        <v>0</v>
      </c>
      <c r="I23" s="11"/>
    </row>
    <row r="24" spans="1:9" ht="17.25" customHeight="1">
      <c r="A24" s="10" t="str">
        <f t="shared" si="5"/>
        <v/>
      </c>
      <c r="B24" s="4" t="str">
        <f t="shared" si="3"/>
        <v/>
      </c>
      <c r="C24" s="11" t="str">
        <f t="shared" si="0"/>
        <v/>
      </c>
      <c r="D24" s="15"/>
      <c r="E24" s="16"/>
      <c r="F24" s="11">
        <f t="shared" si="1"/>
        <v>0</v>
      </c>
      <c r="G24" s="11">
        <f t="shared" si="2"/>
        <v>0</v>
      </c>
      <c r="H24" s="14">
        <f t="shared" ca="1" si="6"/>
        <v>0</v>
      </c>
      <c r="I24" s="11"/>
    </row>
    <row r="25" spans="1:9" ht="17.25" customHeight="1">
      <c r="A25" s="10" t="str">
        <f t="shared" si="5"/>
        <v/>
      </c>
      <c r="B25" s="4" t="str">
        <f t="shared" si="3"/>
        <v/>
      </c>
      <c r="C25" s="11" t="str">
        <f t="shared" si="0"/>
        <v/>
      </c>
      <c r="D25" s="15"/>
      <c r="E25" s="16"/>
      <c r="F25" s="11">
        <f t="shared" si="1"/>
        <v>0</v>
      </c>
      <c r="G25" s="11">
        <f t="shared" si="2"/>
        <v>0</v>
      </c>
      <c r="H25" s="14">
        <f t="shared" ca="1" si="6"/>
        <v>0</v>
      </c>
      <c r="I25" s="11"/>
    </row>
    <row r="26" spans="1:9" ht="17.25" customHeight="1">
      <c r="A26" s="10" t="str">
        <f t="shared" si="5"/>
        <v/>
      </c>
      <c r="B26" s="4" t="str">
        <f t="shared" si="3"/>
        <v/>
      </c>
      <c r="C26" s="11" t="str">
        <f t="shared" si="0"/>
        <v/>
      </c>
      <c r="D26" s="15"/>
      <c r="E26" s="16"/>
      <c r="F26" s="11">
        <f t="shared" si="1"/>
        <v>0</v>
      </c>
      <c r="G26" s="11">
        <f t="shared" si="2"/>
        <v>0</v>
      </c>
      <c r="H26" s="14">
        <f t="shared" ca="1" si="6"/>
        <v>0</v>
      </c>
      <c r="I26" s="11"/>
    </row>
    <row r="27" spans="1:9" ht="17.25" customHeight="1">
      <c r="A27" s="10" t="str">
        <f t="shared" si="5"/>
        <v/>
      </c>
      <c r="B27" s="4" t="str">
        <f t="shared" si="3"/>
        <v/>
      </c>
      <c r="C27" s="11" t="str">
        <f t="shared" si="0"/>
        <v/>
      </c>
      <c r="D27" s="15"/>
      <c r="E27" s="16"/>
      <c r="F27" s="11">
        <f t="shared" si="1"/>
        <v>0</v>
      </c>
      <c r="G27" s="11">
        <f t="shared" si="2"/>
        <v>0</v>
      </c>
      <c r="H27" s="14">
        <f t="shared" ca="1" si="6"/>
        <v>0</v>
      </c>
      <c r="I27" s="11"/>
    </row>
    <row r="28" spans="1:9" ht="17.25" customHeight="1">
      <c r="A28" s="10" t="str">
        <f t="shared" si="5"/>
        <v/>
      </c>
      <c r="B28" s="4" t="str">
        <f t="shared" si="3"/>
        <v/>
      </c>
      <c r="C28" s="11" t="str">
        <f t="shared" si="0"/>
        <v/>
      </c>
      <c r="D28" s="15"/>
      <c r="E28" s="16"/>
      <c r="F28" s="11">
        <f t="shared" si="1"/>
        <v>0</v>
      </c>
      <c r="G28" s="11">
        <f t="shared" si="2"/>
        <v>0</v>
      </c>
      <c r="H28" s="14">
        <f t="shared" ca="1" si="6"/>
        <v>0</v>
      </c>
      <c r="I28" s="11"/>
    </row>
    <row r="29" spans="1:9" ht="17.25" customHeight="1">
      <c r="A29" s="10" t="str">
        <f t="shared" si="5"/>
        <v/>
      </c>
      <c r="B29" s="4" t="str">
        <f t="shared" si="3"/>
        <v/>
      </c>
      <c r="C29" s="11" t="str">
        <f t="shared" si="0"/>
        <v/>
      </c>
      <c r="D29" s="15"/>
      <c r="E29" s="16"/>
      <c r="F29" s="11">
        <f t="shared" si="1"/>
        <v>0</v>
      </c>
      <c r="G29" s="11">
        <f t="shared" si="2"/>
        <v>0</v>
      </c>
      <c r="H29" s="14">
        <f t="shared" ca="1" si="6"/>
        <v>0</v>
      </c>
      <c r="I29" s="11"/>
    </row>
    <row r="30" spans="1:9" ht="17.25" customHeight="1">
      <c r="A30" s="10" t="str">
        <f t="shared" si="5"/>
        <v/>
      </c>
      <c r="B30" s="4" t="str">
        <f t="shared" si="3"/>
        <v/>
      </c>
      <c r="C30" s="11" t="str">
        <f t="shared" si="0"/>
        <v/>
      </c>
      <c r="D30" s="15"/>
      <c r="E30" s="16"/>
      <c r="F30" s="11">
        <f t="shared" si="1"/>
        <v>0</v>
      </c>
      <c r="G30" s="11">
        <f t="shared" si="2"/>
        <v>0</v>
      </c>
      <c r="H30" s="14">
        <f t="shared" ca="1" si="6"/>
        <v>0</v>
      </c>
      <c r="I30" s="11"/>
    </row>
    <row r="31" spans="1:9" ht="17.25" customHeight="1">
      <c r="A31" s="10" t="str">
        <f t="shared" si="5"/>
        <v/>
      </c>
      <c r="B31" s="4" t="str">
        <f t="shared" si="3"/>
        <v/>
      </c>
      <c r="C31" s="11" t="str">
        <f t="shared" si="0"/>
        <v/>
      </c>
      <c r="D31" s="15"/>
      <c r="E31" s="16"/>
      <c r="F31" s="11">
        <f t="shared" si="1"/>
        <v>0</v>
      </c>
      <c r="G31" s="11">
        <f t="shared" si="2"/>
        <v>0</v>
      </c>
      <c r="H31" s="14">
        <f t="shared" ca="1" si="6"/>
        <v>0</v>
      </c>
      <c r="I31" s="11"/>
    </row>
    <row r="32" spans="1:9" ht="17.25" customHeight="1">
      <c r="A32" s="10" t="str">
        <f t="shared" si="5"/>
        <v/>
      </c>
      <c r="B32" s="4" t="str">
        <f t="shared" si="3"/>
        <v/>
      </c>
      <c r="C32" s="11" t="str">
        <f t="shared" si="0"/>
        <v/>
      </c>
      <c r="D32" s="15"/>
      <c r="E32" s="16"/>
      <c r="F32" s="11">
        <f t="shared" si="1"/>
        <v>0</v>
      </c>
      <c r="G32" s="11">
        <f t="shared" si="2"/>
        <v>0</v>
      </c>
      <c r="H32" s="14">
        <f t="shared" ca="1" si="6"/>
        <v>0</v>
      </c>
      <c r="I32" s="11"/>
    </row>
    <row r="33" spans="1:9" ht="17.25" customHeight="1">
      <c r="A33" s="10" t="str">
        <f t="shared" si="5"/>
        <v/>
      </c>
      <c r="B33" s="4" t="str">
        <f t="shared" si="3"/>
        <v/>
      </c>
      <c r="C33" s="11" t="str">
        <f t="shared" si="0"/>
        <v/>
      </c>
      <c r="D33" s="15"/>
      <c r="E33" s="16"/>
      <c r="F33" s="11">
        <f t="shared" si="1"/>
        <v>0</v>
      </c>
      <c r="G33" s="11">
        <f t="shared" si="2"/>
        <v>0</v>
      </c>
      <c r="H33" s="14">
        <f t="shared" ca="1" si="6"/>
        <v>0</v>
      </c>
      <c r="I33" s="11"/>
    </row>
    <row r="34" spans="1:9" ht="17.25" customHeight="1">
      <c r="A34" s="10" t="str">
        <f t="shared" si="5"/>
        <v/>
      </c>
      <c r="B34" s="4" t="str">
        <f t="shared" si="3"/>
        <v/>
      </c>
      <c r="C34" s="11" t="str">
        <f t="shared" si="0"/>
        <v/>
      </c>
      <c r="D34" s="15"/>
      <c r="E34" s="16"/>
      <c r="F34" s="11">
        <f t="shared" si="1"/>
        <v>0</v>
      </c>
      <c r="G34" s="11">
        <f t="shared" si="2"/>
        <v>0</v>
      </c>
      <c r="H34" s="14">
        <f t="shared" ca="1" si="6"/>
        <v>0</v>
      </c>
      <c r="I34" s="11"/>
    </row>
    <row r="35" spans="1:9" ht="17.25" customHeight="1">
      <c r="A35" s="10" t="str">
        <f t="shared" si="5"/>
        <v/>
      </c>
      <c r="B35" s="4" t="str">
        <f t="shared" si="3"/>
        <v/>
      </c>
      <c r="C35" s="11" t="str">
        <f t="shared" si="0"/>
        <v/>
      </c>
      <c r="D35" s="15"/>
      <c r="E35" s="16"/>
      <c r="F35" s="11">
        <f t="shared" si="1"/>
        <v>0</v>
      </c>
      <c r="G35" s="11">
        <f t="shared" si="2"/>
        <v>0</v>
      </c>
      <c r="H35" s="14">
        <f t="shared" ca="1" si="6"/>
        <v>0</v>
      </c>
      <c r="I35" s="11"/>
    </row>
    <row r="36" spans="1:9" ht="17.25" customHeight="1">
      <c r="A36" s="10" t="str">
        <f t="shared" si="5"/>
        <v/>
      </c>
      <c r="B36" s="4" t="str">
        <f t="shared" si="3"/>
        <v/>
      </c>
      <c r="C36" s="11" t="str">
        <f t="shared" si="0"/>
        <v/>
      </c>
      <c r="D36" s="15"/>
      <c r="E36" s="16"/>
      <c r="F36" s="11">
        <f t="shared" si="1"/>
        <v>0</v>
      </c>
      <c r="G36" s="11">
        <f t="shared" si="2"/>
        <v>0</v>
      </c>
      <c r="H36" s="14">
        <f t="shared" ca="1" si="6"/>
        <v>0</v>
      </c>
      <c r="I36" s="11"/>
    </row>
    <row r="37" spans="1:9" ht="17.25" customHeight="1">
      <c r="A37" s="10" t="str">
        <f t="shared" si="5"/>
        <v/>
      </c>
      <c r="B37" s="4" t="str">
        <f t="shared" si="3"/>
        <v/>
      </c>
      <c r="C37" s="11" t="str">
        <f t="shared" ref="C37:C41" si="7">publicHolidays(A37)</f>
        <v/>
      </c>
      <c r="D37" s="15"/>
      <c r="E37" s="16"/>
      <c r="F37" s="11">
        <f t="shared" si="1"/>
        <v>0</v>
      </c>
      <c r="G37" s="11">
        <f t="shared" si="2"/>
        <v>0</v>
      </c>
      <c r="H37" s="14">
        <f t="shared" ca="1" si="6"/>
        <v>0</v>
      </c>
      <c r="I37" s="11"/>
    </row>
    <row r="38" spans="1:9" ht="17.25" customHeight="1">
      <c r="A38" s="10" t="str">
        <f t="shared" si="5"/>
        <v/>
      </c>
      <c r="B38" s="4" t="str">
        <f t="shared" si="3"/>
        <v/>
      </c>
      <c r="C38" s="11" t="str">
        <f t="shared" si="0"/>
        <v/>
      </c>
      <c r="D38" s="15"/>
      <c r="E38" s="16"/>
      <c r="F38" s="11">
        <f t="shared" si="1"/>
        <v>0</v>
      </c>
      <c r="G38" s="11">
        <f t="shared" si="2"/>
        <v>0</v>
      </c>
      <c r="H38" s="14">
        <f t="shared" ca="1" si="6"/>
        <v>0</v>
      </c>
      <c r="I38" s="11"/>
    </row>
    <row r="39" spans="1:9" ht="17.25" customHeight="1">
      <c r="A39" s="10" t="str">
        <f t="shared" si="5"/>
        <v/>
      </c>
      <c r="B39" s="4" t="str">
        <f t="shared" si="3"/>
        <v/>
      </c>
      <c r="C39" s="11" t="str">
        <f t="shared" si="0"/>
        <v/>
      </c>
      <c r="D39" s="15"/>
      <c r="E39" s="16"/>
      <c r="F39" s="11">
        <f t="shared" si="1"/>
        <v>0</v>
      </c>
      <c r="G39" s="11">
        <f t="shared" si="2"/>
        <v>0</v>
      </c>
      <c r="H39" s="14">
        <f t="shared" ca="1" si="6"/>
        <v>0</v>
      </c>
      <c r="I39" s="11"/>
    </row>
    <row r="40" spans="1:9" ht="17.25" customHeight="1">
      <c r="A40" s="10" t="str">
        <f t="shared" si="5"/>
        <v/>
      </c>
      <c r="B40" s="4" t="str">
        <f t="shared" si="3"/>
        <v/>
      </c>
      <c r="C40" s="11" t="str">
        <f t="shared" si="7"/>
        <v/>
      </c>
      <c r="D40" s="15"/>
      <c r="E40" s="16"/>
      <c r="F40" s="11">
        <f t="shared" si="1"/>
        <v>0</v>
      </c>
      <c r="G40" s="11">
        <f t="shared" si="2"/>
        <v>0</v>
      </c>
      <c r="H40" s="14">
        <f t="shared" ca="1" si="6"/>
        <v>0</v>
      </c>
      <c r="I40" s="11"/>
    </row>
    <row r="41" spans="1:9" s="18" customFormat="1" ht="17.25" customHeight="1">
      <c r="A41" s="17" t="str">
        <f t="shared" si="5"/>
        <v/>
      </c>
      <c r="B41" s="18" t="str">
        <f t="shared" si="3"/>
        <v/>
      </c>
      <c r="C41" s="11" t="str">
        <f t="shared" si="7"/>
        <v/>
      </c>
      <c r="D41" s="35"/>
      <c r="E41" s="36"/>
      <c r="F41" s="18">
        <f t="shared" si="1"/>
        <v>0</v>
      </c>
      <c r="G41" s="18">
        <f t="shared" si="2"/>
        <v>0</v>
      </c>
      <c r="H41" s="14">
        <f t="shared" ca="1" si="6"/>
        <v>0</v>
      </c>
      <c r="I41" s="20"/>
    </row>
    <row r="42" spans="1:9" s="18" customFormat="1" ht="17.25" customHeight="1">
      <c r="C42" s="17"/>
      <c r="D42" s="21"/>
      <c r="E42" s="19"/>
      <c r="F42" s="43"/>
      <c r="G42" s="43"/>
      <c r="H42" s="8"/>
      <c r="I42" s="20"/>
    </row>
    <row r="43" spans="1:9" ht="17.25" customHeight="1">
      <c r="C43" s="17" t="s">
        <v>20</v>
      </c>
      <c r="F43" s="43" t="s">
        <v>21</v>
      </c>
      <c r="G43" s="43"/>
      <c r="H43" s="22">
        <f ca="1">SUM(H11:H41)*24</f>
        <v>0</v>
      </c>
      <c r="I43" s="11"/>
    </row>
    <row r="44" spans="1:9" ht="17.25" customHeight="1">
      <c r="C44" s="4" t="s">
        <v>22</v>
      </c>
      <c r="F44" s="44" t="s">
        <v>0</v>
      </c>
      <c r="G44" s="44"/>
      <c r="H44" s="22">
        <f ca="1">H43-D7</f>
        <v>0</v>
      </c>
      <c r="I44" s="11"/>
    </row>
    <row r="45" spans="1:9" ht="17.25" customHeight="1">
      <c r="C45" s="4" t="s">
        <v>23</v>
      </c>
      <c r="D45" s="4">
        <f ca="1">countDays(D5, "vacation")</f>
        <v>0</v>
      </c>
      <c r="F45" s="40" t="s">
        <v>25</v>
      </c>
      <c r="G45" s="40"/>
      <c r="H45" s="23">
        <v>0</v>
      </c>
      <c r="I45" s="11"/>
    </row>
    <row r="46" spans="1:9" ht="17.25" customHeight="1">
      <c r="C46" s="17" t="s">
        <v>24</v>
      </c>
      <c r="D46" s="4">
        <f ca="1">D44-D45</f>
        <v>0</v>
      </c>
      <c r="F46" s="40" t="s">
        <v>27</v>
      </c>
      <c r="G46" s="40"/>
      <c r="H46" s="22"/>
      <c r="I46" s="11"/>
    </row>
    <row r="47" spans="1:9" ht="17.25" customHeight="1">
      <c r="F47" s="40" t="s">
        <v>26</v>
      </c>
      <c r="G47" s="40"/>
      <c r="H47" s="4">
        <f ca="1">SUM(H44:H46)</f>
        <v>0</v>
      </c>
    </row>
    <row r="48" spans="1:9" ht="17.25" customHeight="1"/>
    <row r="49" spans="1:9" ht="17.25" customHeight="1">
      <c r="A49" s="4" t="s">
        <v>45</v>
      </c>
    </row>
    <row r="50" spans="1:9" ht="17.25" customHeight="1"/>
    <row r="51" spans="1:9" ht="17.25" customHeight="1">
      <c r="A51" s="24"/>
      <c r="B51" s="25"/>
      <c r="C51" s="25"/>
      <c r="D51" s="25"/>
      <c r="F51" s="24"/>
      <c r="G51" s="25"/>
      <c r="H51" s="25"/>
      <c r="I51" s="25"/>
    </row>
    <row r="52" spans="1:9">
      <c r="A52" s="7" t="s">
        <v>28</v>
      </c>
      <c r="F52" s="7" t="s">
        <v>29</v>
      </c>
    </row>
  </sheetData>
  <sheetProtection password="8FF3" sheet="1" objects="1" scenarios="1"/>
  <dataConsolidate/>
  <mergeCells count="8">
    <mergeCell ref="F47:G47"/>
    <mergeCell ref="F45:G45"/>
    <mergeCell ref="F46:G46"/>
    <mergeCell ref="D2:H2"/>
    <mergeCell ref="D3:H3"/>
    <mergeCell ref="F42:G42"/>
    <mergeCell ref="F43:G43"/>
    <mergeCell ref="F44:G44"/>
  </mergeCells>
  <conditionalFormatting sqref="B11:B41">
    <cfRule type="expression" dxfId="2" priority="14">
      <formula>IFERROR(NOT(FIND(B11,$D$5))*FALSE,TRUE)</formula>
    </cfRule>
  </conditionalFormatting>
  <conditionalFormatting sqref="F11:G41">
    <cfRule type="expression" dxfId="1" priority="8">
      <formula>AND(F11&lt;&gt;0,F11&lt;15)</formula>
    </cfRule>
  </conditionalFormatting>
  <conditionalFormatting sqref="D2:D5 D43">
    <cfRule type="expression" dxfId="0" priority="7">
      <formula>ISBLANK(D2)</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M01.2020</vt:lpstr>
      <vt:lpstr>absence</vt:lpstr>
      <vt:lpstr>M01.2020!Druckbereich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2020-01-24T20:18:59Z</cp:lastPrinted>
  <dcterms:created xsi:type="dcterms:W3CDTF">2006-09-16T00:00:00Z</dcterms:created>
  <dcterms:modified xsi:type="dcterms:W3CDTF">2020-02-28T21:36:20Z</dcterms:modified>
</cp:coreProperties>
</file>