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DieseArbeitsmappe" defaultThemeVersion="124226"/>
  <mc:AlternateContent xmlns:mc="http://schemas.openxmlformats.org/markup-compatibility/2006">
    <mc:Choice Requires="x15">
      <x15ac:absPath xmlns:x15ac="http://schemas.microsoft.com/office/spreadsheetml/2010/11/ac" url="D:\erroronline1\diverse dokumente\arbeit\stick\qm\aqms\timetables\"/>
    </mc:Choice>
  </mc:AlternateContent>
  <bookViews>
    <workbookView xWindow="0" yWindow="0" windowWidth="28800" windowHeight="11625" firstSheet="1" activeTab="1"/>
  </bookViews>
  <sheets>
    <sheet name="settings" sheetId="15" state="veryHidden" r:id="rId1"/>
    <sheet name="info" sheetId="11" r:id="rId2"/>
    <sheet name="M03.2020" sheetId="6" r:id="rId3"/>
  </sheets>
  <functionGroups builtInGroupCount="18"/>
  <definedNames>
    <definedName name="absence">info!$A$10:$A$18</definedName>
    <definedName name="_xlnm.Print_Area" localSheetId="2">'M03.2020'!$A$1:$I$53</definedName>
  </definedNames>
  <calcPr calcId="152511"/>
</workbook>
</file>

<file path=xl/calcChain.xml><?xml version="1.0" encoding="utf-8"?>
<calcChain xmlns="http://schemas.openxmlformats.org/spreadsheetml/2006/main">
  <c r="F41" i="6" l="1"/>
  <c r="F40" i="6"/>
  <c r="F39" i="6"/>
  <c r="F38" i="6"/>
  <c r="F37" i="6"/>
  <c r="F36" i="6"/>
  <c r="F35" i="6"/>
  <c r="F34" i="6"/>
  <c r="F33" i="6"/>
  <c r="F32" i="6"/>
  <c r="F31" i="6"/>
  <c r="F30" i="6"/>
  <c r="F29" i="6"/>
  <c r="F28" i="6"/>
  <c r="F27" i="6"/>
  <c r="F26" i="6"/>
  <c r="F25" i="6"/>
  <c r="F24" i="6"/>
  <c r="F23" i="6"/>
  <c r="F22" i="6"/>
  <c r="F21" i="6"/>
  <c r="F20" i="6"/>
  <c r="F19" i="6"/>
  <c r="F18" i="6"/>
  <c r="F17" i="6"/>
  <c r="F16" i="6"/>
  <c r="F15" i="6"/>
  <c r="F14" i="6"/>
  <c r="F13" i="6"/>
  <c r="F12" i="6"/>
  <c r="F11" i="6"/>
  <c r="A11" i="6"/>
  <c r="A12" i="6" s="1"/>
  <c r="C12" i="6"/>
  <c r="C11" i="6"/>
  <c r="D6" i="6"/>
  <c r="H17" i="6"/>
  <c r="H24" i="6"/>
  <c r="H35" i="6"/>
  <c r="H34" i="6"/>
  <c r="H11" i="6"/>
  <c r="H21" i="6"/>
  <c r="H36" i="6"/>
  <c r="H37" i="6"/>
  <c r="H22" i="6"/>
  <c r="H31" i="6"/>
  <c r="H39" i="6"/>
  <c r="H15" i="6"/>
  <c r="H27" i="6"/>
  <c r="H29" i="6"/>
  <c r="H32" i="6"/>
  <c r="H18" i="6"/>
  <c r="H38" i="6"/>
  <c r="H14" i="6"/>
  <c r="H23" i="6"/>
  <c r="H28" i="6"/>
  <c r="H41" i="6"/>
  <c r="H30" i="6"/>
  <c r="H25" i="6"/>
  <c r="H20" i="6"/>
  <c r="H13" i="6"/>
  <c r="H19" i="6"/>
  <c r="H16" i="6"/>
  <c r="H26" i="6"/>
  <c r="H40" i="6"/>
  <c r="H12" i="6"/>
  <c r="H33" i="6"/>
  <c r="B12" i="6" l="1"/>
  <c r="A13" i="6"/>
  <c r="B11" i="6"/>
  <c r="H43" i="6"/>
  <c r="A7" i="11"/>
  <c r="C13" i="6"/>
  <c r="B13" i="6" l="1"/>
  <c r="A14" i="6"/>
  <c r="C14" i="6"/>
  <c r="A15" i="6" l="1"/>
  <c r="B14" i="6"/>
  <c r="C15" i="6"/>
  <c r="A16" i="6" l="1"/>
  <c r="B15" i="6"/>
  <c r="C16" i="6"/>
  <c r="B16" i="6" l="1"/>
  <c r="A17" i="6"/>
  <c r="C17" i="6"/>
  <c r="B17" i="6" l="1"/>
  <c r="A18" i="6"/>
  <c r="C18" i="6"/>
  <c r="A19" i="6" l="1"/>
  <c r="B18" i="6"/>
  <c r="C19" i="6"/>
  <c r="A20" i="6" l="1"/>
  <c r="B19" i="6"/>
  <c r="C20" i="6"/>
  <c r="B20" i="6" l="1"/>
  <c r="A21" i="6"/>
  <c r="C21" i="6"/>
  <c r="B21" i="6" l="1"/>
  <c r="A22" i="6"/>
  <c r="C22" i="6"/>
  <c r="A23" i="6" l="1"/>
  <c r="B22" i="6"/>
  <c r="C23" i="6"/>
  <c r="A24" i="6" l="1"/>
  <c r="B23" i="6"/>
  <c r="C24" i="6"/>
  <c r="B24" i="6" l="1"/>
  <c r="A25" i="6"/>
  <c r="C25" i="6"/>
  <c r="B25" i="6" l="1"/>
  <c r="A26" i="6"/>
  <c r="C26" i="6"/>
  <c r="A27" i="6" l="1"/>
  <c r="B26" i="6"/>
  <c r="C27" i="6"/>
  <c r="A28" i="6" l="1"/>
  <c r="B27" i="6"/>
  <c r="C28" i="6"/>
  <c r="B28" i="6" l="1"/>
  <c r="A29" i="6"/>
  <c r="C29" i="6"/>
  <c r="B29" i="6" l="1"/>
  <c r="A30" i="6"/>
  <c r="C30" i="6"/>
  <c r="A31" i="6" l="1"/>
  <c r="B30" i="6"/>
  <c r="C31" i="6"/>
  <c r="A32" i="6" l="1"/>
  <c r="B31" i="6"/>
  <c r="C32" i="6"/>
  <c r="B32" i="6" l="1"/>
  <c r="A33" i="6"/>
  <c r="C33" i="6"/>
  <c r="B33" i="6" l="1"/>
  <c r="A34" i="6"/>
  <c r="C34" i="6"/>
  <c r="A35" i="6" l="1"/>
  <c r="B34" i="6"/>
  <c r="C35" i="6"/>
  <c r="A36" i="6" l="1"/>
  <c r="B35" i="6"/>
  <c r="C36" i="6"/>
  <c r="B36" i="6" l="1"/>
  <c r="A37" i="6"/>
  <c r="C37" i="6"/>
  <c r="B37" i="6" l="1"/>
  <c r="A38" i="6"/>
  <c r="C38" i="6"/>
  <c r="A39" i="6" l="1"/>
  <c r="B38" i="6"/>
  <c r="C39" i="6"/>
  <c r="A40" i="6" l="1"/>
  <c r="B39" i="6"/>
  <c r="C40" i="6"/>
  <c r="B40" i="6" l="1"/>
  <c r="A41" i="6"/>
  <c r="C41" i="6"/>
  <c r="D8" i="6"/>
  <c r="D45" i="6"/>
  <c r="D46" i="6" l="1"/>
  <c r="D7" i="6"/>
  <c r="H44" i="6" s="1"/>
  <c r="H47" i="6" s="1"/>
  <c r="B41" i="6"/>
</calcChain>
</file>

<file path=xl/sharedStrings.xml><?xml version="1.0" encoding="utf-8"?>
<sst xmlns="http://schemas.openxmlformats.org/spreadsheetml/2006/main" count="52" uniqueCount="50">
  <si>
    <t>Name, Vorname</t>
  </si>
  <si>
    <t>Wochenarbeitszeit</t>
  </si>
  <si>
    <t>Datum</t>
  </si>
  <si>
    <t>Beginn</t>
  </si>
  <si>
    <t>Ende</t>
  </si>
  <si>
    <t>Arbeitszeit</t>
  </si>
  <si>
    <t>PlusMinus</t>
  </si>
  <si>
    <t>Nettoarbeitstage</t>
  </si>
  <si>
    <t>rechnerische TagesAZ</t>
  </si>
  <si>
    <t>rechnerische MonatsAZ</t>
  </si>
  <si>
    <t>Übertrag Vormonat</t>
  </si>
  <si>
    <t>Gesamt</t>
  </si>
  <si>
    <t>Urlaub</t>
  </si>
  <si>
    <t>Summe</t>
  </si>
  <si>
    <t>Resturlaub</t>
  </si>
  <si>
    <t>Bereich</t>
  </si>
  <si>
    <t>Anmerkung</t>
  </si>
  <si>
    <t>Unterschrift Mitarbeiter</t>
  </si>
  <si>
    <t>Unterschrift Vorgesetzter</t>
  </si>
  <si>
    <t>Korrekturwert</t>
  </si>
  <si>
    <t>Liste von Freistellungen zur Korrektur der errechneten Monatsarbeitszeit</t>
  </si>
  <si>
    <t>Frei</t>
  </si>
  <si>
    <t>Für die abschließende Richtigkeit der Angaben ist der Mitarbeiter verantwortlich.</t>
  </si>
  <si>
    <t>Arbeitszeitaufstellung für</t>
  </si>
  <si>
    <t>Jahresurlaub</t>
  </si>
  <si>
    <t>Rest Vormonat</t>
  </si>
  <si>
    <t>Tag</t>
  </si>
  <si>
    <t>userpass</t>
  </si>
  <si>
    <t>masterpass</t>
  </si>
  <si>
    <t>Stunden</t>
  </si>
  <si>
    <r>
      <rPr>
        <b/>
        <sz val="11"/>
        <color theme="1"/>
        <rFont val="Calibri"/>
        <family val="2"/>
        <scheme val="minor"/>
      </rPr>
      <t xml:space="preserve">MANIPULATIONSSCHUTZ:
</t>
    </r>
    <r>
      <rPr>
        <sz val="11"/>
        <color theme="1"/>
        <rFont val="Calibri"/>
        <family val="2"/>
        <scheme val="minor"/>
      </rPr>
      <t>Die Eingabe ist kennwortgeschützt. Bei Erstnutzung wird zur Vergabe eines persönlichen Kennworts aufgefordert. Dieses kann jederzeit geändert werden. Sollte das bekannte Kennwort unerwarteter Weise nicht mehr akzeptiert werden oder keine Aufforderung zur Eingabe erfolgen liegt der Verdacht auf Manipulation nahe und sollte detailliert geprüft werden.
Vorschläge zu Kennwörtern findest du unter:</t>
    </r>
  </si>
  <si>
    <r>
      <rPr>
        <b/>
        <sz val="11"/>
        <color theme="1"/>
        <rFont val="Calibri"/>
        <family val="2"/>
        <scheme val="minor"/>
      </rPr>
      <t>HINWEIS:</t>
    </r>
    <r>
      <rPr>
        <sz val="11"/>
        <color theme="1"/>
        <rFont val="Calibri"/>
        <family val="2"/>
        <scheme val="minor"/>
      </rPr>
      <t xml:space="preserve">
Bitte berücksichtigen, dass Urlaubseinträge an Feiertagen als Urlaub abgezogen werden. Hier muss der Eintrag korrekt erfolgen. Feiertage werden in neuen Blättern automatisch voreingetragen. Wird das Eingabefeld jedoch gelöscht ist auch die Formel weg und der Feiertag muss ggf. manuell korrigiert werden. Feiertags- und Wochenend-Zuschläge finden keine Berücksichtigung.</t>
    </r>
  </si>
  <si>
    <r>
      <rPr>
        <b/>
        <sz val="11"/>
        <color theme="1"/>
        <rFont val="Calibri"/>
        <family val="2"/>
        <scheme val="minor"/>
      </rPr>
      <t xml:space="preserve">ALLGEMEINE INFORMATION:
</t>
    </r>
    <r>
      <rPr>
        <sz val="11"/>
        <color theme="1"/>
        <rFont val="Calibri"/>
        <family val="2"/>
        <scheme val="minor"/>
      </rPr>
      <t xml:space="preserve">Diese Datei dient der Erfassung der Arbeitszeit. Die Bearbeitung ist eingeschränkt.
Überträge von Arbeitszeiten und Urlauben werden automatisch in das nächste Blatt übernommen. Mit Beginn eines neuen Monats wird das nächste Blatt automatisch ergänzt. Die Namen und Reihenfolge der Tabellenblätter dürfen nicht verändert werden. Wochenend-übergreifende Freistellungen/Feiertage werden nicht berücksichtigt. Bei der ersten Nutzung wird die Tabelle für den laufenden Monat initialisiert. Es kann erforderlich sein die Makrofunktion zunächst aktivieren zu müssen, wenn das Dokument im geschützten Modus startet.
</t>
    </r>
  </si>
  <si>
    <r>
      <rPr>
        <b/>
        <sz val="11"/>
        <color theme="1"/>
        <rFont val="Calibri"/>
        <family val="2"/>
        <scheme val="minor"/>
      </rPr>
      <t>PROFITIPP:</t>
    </r>
    <r>
      <rPr>
        <sz val="11"/>
        <color theme="1"/>
        <rFont val="Calibri"/>
        <family val="2"/>
        <scheme val="minor"/>
      </rPr>
      <t xml:space="preserve">
Die Eingabe der Uhrzeiten erfordert einen Doppelpunkt als Trennzeichen. Mit folgenen lokalen Einstellungen in Excel ist eine schnelle Eingabe über den Nummernblock möglich:
Datei -&gt; Optionen -&gt; Dokumentprüfung -&gt;Autokorrektur-Optionen
Häkchen bei "Während der Eingabe ersetzen"
Ersetze ,, durch :
und Hinzufügen</t>
    </r>
  </si>
  <si>
    <r>
      <rPr>
        <b/>
        <sz val="11"/>
        <color theme="1"/>
        <rFont val="Calibri"/>
        <family val="2"/>
        <scheme val="minor"/>
      </rPr>
      <t>URLAUBSHINWEIS:</t>
    </r>
    <r>
      <rPr>
        <sz val="11"/>
        <color theme="1"/>
        <rFont val="Calibri"/>
        <family val="2"/>
        <scheme val="minor"/>
      </rPr>
      <t xml:space="preserve">
Einmal monatlich gibt es einen Hinweis, sofern noch signifikant viele Urlaubstage zu planen sind.
Es werden automatisch die gesetzlich vorgeschriebenen Pausenzeiten (Arbeitszeitgesetz (ArbZG) § 4) abgezogen sofern keine anderslautenden Pausenzeiten angegeben werden. Pausen gelten als solche erst ab einer Zeit von 15 Minuten. Zu geringe oder falsche Werte werden farblich markiert und korrigiert abgezogen. Die Frühstückspause wird mit mindestens 15 Minuten, die Mittagspause mit mindestens 30 Minuten berechnet.</t>
    </r>
  </si>
  <si>
    <t>Pause</t>
  </si>
  <si>
    <t>Homeoffice</t>
  </si>
  <si>
    <r>
      <rPr>
        <b/>
        <sz val="11"/>
        <color theme="1"/>
        <rFont val="Calibri"/>
        <family val="2"/>
        <scheme val="minor"/>
      </rPr>
      <t xml:space="preserve">ZUGELASSENE ÄNDERUNGEN:
</t>
    </r>
    <r>
      <rPr>
        <sz val="11"/>
        <color theme="1"/>
        <rFont val="Calibri"/>
        <family val="2"/>
        <scheme val="minor"/>
      </rPr>
      <t xml:space="preserve">Änderungen sind möglich für:
Name (Namensänderungen)
Bereich (Bereichswechsel)
Wochenarbeitzeit (Arbeitszeitänderungen)
Jahresgesamturlaubsanspruch (Arbeitszeitänderungen, unterjähriger Ein- oder Austritt)
Arbeitszeitkorrektur (Auszahlung von Überstunden - Freizeitausgleich hat Priorität!)
Krank/Urlaub/Feiertag
Dienstbeginn und -ende
angepasste Pausenzeiten
Bemerkungen (z.B. Begründung für deutliche Überzeit oder Freizeitausgleich)
</t>
    </r>
  </si>
  <si>
    <t>persistent</t>
  </si>
  <si>
    <t>Arbeitstage</t>
  </si>
  <si>
    <t>Mo, Di, Mi, Do, Fr</t>
  </si>
  <si>
    <t>(Mo - So, Abkürzung wie in Tag, kommagetrennt, sofern zutreffend)</t>
  </si>
  <si>
    <t>Krank</t>
  </si>
  <si>
    <t>Feiertag</t>
  </si>
  <si>
    <t>Berufsschule</t>
  </si>
  <si>
    <t>Dienstreise</t>
  </si>
  <si>
    <t>Elternzeit</t>
  </si>
  <si>
    <t>siehe Anmerkung</t>
  </si>
  <si>
    <t>Überzeit</t>
  </si>
  <si>
    <t>rohgezimmert.umgebundenChefdenkerbauseitig</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</si>
</sst>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h:mm;@"/>
    <numFmt numFmtId="165" formatCode="0.00_ ;[Red]\-0.00\ "/>
  </numFmts>
  <fonts count="10">
    <font>
      <sz val="11"/>
      <color theme="1"/>
      <name val="Calibri"/>
      <family val="2"/>
      <scheme val="minor"/>
    </font>
    <font>
      <b/>
      <sz val="11"/>
      <color theme="1"/>
      <name val="Calibri"/>
      <family val="2"/>
      <scheme val="minor"/>
    </font>
    <font>
      <u/>
      <sz val="11"/>
      <color theme="10"/>
      <name val="Calibri"/>
      <family val="2"/>
      <scheme val="minor"/>
    </font>
    <font>
      <sz val="11"/>
      <color theme="1"/>
      <name val="MetaNormal-Roman"/>
      <family val="2"/>
    </font>
    <font>
      <sz val="11"/>
      <color theme="0" tint="-0.499984740745262"/>
      <name val="MetaNormal-Roman"/>
      <family val="2"/>
    </font>
    <font>
      <b/>
      <sz val="11"/>
      <color theme="1"/>
      <name val="MetaNormal-Roman"/>
      <family val="2"/>
    </font>
    <font>
      <sz val="11"/>
      <color theme="0" tint="-0.34998626667073579"/>
      <name val="MetaNormal-Roman"/>
      <family val="2"/>
    </font>
    <font>
      <sz val="14"/>
      <color theme="1"/>
      <name val="MetaNormal-Roman"/>
      <family val="2"/>
    </font>
    <font>
      <b/>
      <sz val="14"/>
      <color theme="1"/>
      <name val="MetaNormal-Roman"/>
      <family val="2"/>
    </font>
    <font>
      <sz val="8"/>
      <color theme="0" tint="-0.499984740745262"/>
      <name val="MetaNormal-Roman"/>
      <family val="2"/>
    </font>
  </fonts>
  <fills count="2">
    <fill>
      <patternFill patternType="none"/>
    </fill>
    <fill>
      <patternFill patternType="gray125"/>
    </fill>
  </fills>
  <borders count="11">
    <border>
      <left/>
      <right/>
      <top/>
      <bottom/>
      <diagonal/>
    </border>
    <border>
      <left style="thin">
        <color rgb="FF00B050"/>
      </left>
      <right/>
      <top style="thin">
        <color rgb="FF00B050"/>
      </top>
      <bottom/>
      <diagonal/>
    </border>
    <border>
      <left style="thin">
        <color rgb="FF00B050"/>
      </left>
      <right/>
      <top/>
      <bottom/>
      <diagonal/>
    </border>
    <border>
      <left style="thin">
        <color rgb="FF00B050"/>
      </left>
      <right/>
      <top/>
      <bottom style="thin">
        <color rgb="FF00B050"/>
      </bottom>
      <diagonal/>
    </border>
    <border>
      <left/>
      <right style="thin">
        <color rgb="FFFF0000"/>
      </right>
      <top style="thin">
        <color rgb="FFFF0000"/>
      </top>
      <bottom/>
      <diagonal/>
    </border>
    <border>
      <left/>
      <right style="thin">
        <color rgb="FFFF0000"/>
      </right>
      <top/>
      <bottom/>
      <diagonal/>
    </border>
    <border>
      <left/>
      <right style="thin">
        <color rgb="FFFF0000"/>
      </right>
      <top/>
      <bottom style="thin">
        <color rgb="FFFF0000"/>
      </bottom>
      <diagonal/>
    </border>
    <border>
      <left/>
      <right/>
      <top/>
      <bottom style="thin">
        <color indexed="64"/>
      </bottom>
      <diagonal/>
    </border>
    <border>
      <left style="thin">
        <color rgb="FF00B050"/>
      </left>
      <right style="thin">
        <color rgb="FF00B050"/>
      </right>
      <top style="thin">
        <color rgb="FF00B050"/>
      </top>
      <bottom/>
      <diagonal/>
    </border>
    <border>
      <left style="thin">
        <color rgb="FF00B050"/>
      </left>
      <right style="thin">
        <color rgb="FF00B050"/>
      </right>
      <top/>
      <bottom/>
      <diagonal/>
    </border>
    <border>
      <left style="thin">
        <color rgb="FF00B050"/>
      </left>
      <right style="thin">
        <color rgb="FF00B050"/>
      </right>
      <top/>
      <bottom style="thin">
        <color rgb="FF00B050"/>
      </bottom>
      <diagonal/>
    </border>
  </borders>
  <cellStyleXfs count="2">
    <xf numFmtId="0" fontId="0" fillId="0" borderId="0"/>
    <xf numFmtId="0" fontId="2" fillId="0" borderId="0" applyNumberFormat="0" applyFill="0" applyBorder="0" applyAlignment="0" applyProtection="0"/>
  </cellStyleXfs>
  <cellXfs count="51">
    <xf numFmtId="0" fontId="0" fillId="0" borderId="0" xfId="0"/>
    <xf numFmtId="16" fontId="0" fillId="0" borderId="0" xfId="0" applyNumberFormat="1"/>
    <xf numFmtId="0" fontId="1" fillId="0" borderId="0" xfId="0" applyFont="1"/>
    <xf numFmtId="22" fontId="0" fillId="0" borderId="0" xfId="0" applyNumberFormat="1"/>
    <xf numFmtId="0" fontId="3" fillId="0" borderId="0" xfId="0" applyFont="1"/>
    <xf numFmtId="0" fontId="3" fillId="0" borderId="0" xfId="0" applyFont="1" applyBorder="1"/>
    <xf numFmtId="0" fontId="3" fillId="0" borderId="0" xfId="0" applyFont="1" applyAlignment="1">
      <alignment horizontal="left"/>
    </xf>
    <xf numFmtId="0" fontId="4" fillId="0" borderId="0" xfId="0" applyFont="1"/>
    <xf numFmtId="2" fontId="3" fillId="0" borderId="0" xfId="0" applyNumberFormat="1" applyFont="1"/>
    <xf numFmtId="165" fontId="5" fillId="0" borderId="0" xfId="0" applyNumberFormat="1" applyFont="1"/>
    <xf numFmtId="14" fontId="3" fillId="0" borderId="0" xfId="0" applyNumberFormat="1" applyFont="1"/>
    <xf numFmtId="0" fontId="3" fillId="0" borderId="0" xfId="0" applyFont="1" applyProtection="1">
      <protection locked="0"/>
    </xf>
    <xf numFmtId="164" fontId="3" fillId="0" borderId="1" xfId="0" applyNumberFormat="1" applyFont="1" applyFill="1" applyBorder="1" applyProtection="1">
      <protection locked="0"/>
    </xf>
    <xf numFmtId="164" fontId="3" fillId="0" borderId="4" xfId="0" applyNumberFormat="1" applyFont="1" applyFill="1" applyBorder="1" applyProtection="1">
      <protection locked="0"/>
    </xf>
    <xf numFmtId="164" fontId="3" fillId="0" borderId="0" xfId="0" applyNumberFormat="1" applyFont="1"/>
    <xf numFmtId="164" fontId="3" fillId="0" borderId="2" xfId="0" applyNumberFormat="1" applyFont="1" applyFill="1" applyBorder="1" applyProtection="1">
      <protection locked="0"/>
    </xf>
    <xf numFmtId="164" fontId="3" fillId="0" borderId="5" xfId="0" applyNumberFormat="1" applyFont="1" applyFill="1" applyBorder="1" applyProtection="1">
      <protection locked="0"/>
    </xf>
    <xf numFmtId="164" fontId="3" fillId="0" borderId="3" xfId="0" applyNumberFormat="1" applyFont="1" applyFill="1" applyBorder="1" applyProtection="1">
      <protection locked="0"/>
    </xf>
    <xf numFmtId="164" fontId="3" fillId="0" borderId="6" xfId="0" applyNumberFormat="1" applyFont="1" applyFill="1" applyBorder="1" applyProtection="1">
      <protection locked="0"/>
    </xf>
    <xf numFmtId="14" fontId="3" fillId="0" borderId="0" xfId="0" applyNumberFormat="1" applyFont="1" applyFill="1"/>
    <xf numFmtId="0" fontId="3" fillId="0" borderId="0" xfId="0" applyFont="1" applyFill="1"/>
    <xf numFmtId="164" fontId="3" fillId="0" borderId="0" xfId="0" applyNumberFormat="1" applyFont="1" applyFill="1"/>
    <xf numFmtId="0" fontId="3" fillId="0" borderId="0" xfId="0" applyFont="1" applyFill="1" applyProtection="1">
      <protection locked="0"/>
    </xf>
    <xf numFmtId="0" fontId="3" fillId="0" borderId="0" xfId="0" applyFont="1" applyBorder="1" applyProtection="1">
      <protection locked="0"/>
    </xf>
    <xf numFmtId="165" fontId="3" fillId="0" borderId="0" xfId="0" applyNumberFormat="1" applyFont="1"/>
    <xf numFmtId="165" fontId="3" fillId="0" borderId="0" xfId="0" applyNumberFormat="1" applyFont="1" applyProtection="1">
      <protection locked="0"/>
    </xf>
    <xf numFmtId="0" fontId="6" fillId="0" borderId="7" xfId="0" applyFont="1" applyBorder="1"/>
    <xf numFmtId="0" fontId="3" fillId="0" borderId="7" xfId="0" applyFont="1" applyBorder="1"/>
    <xf numFmtId="0" fontId="7" fillId="0" borderId="0" xfId="0" applyFont="1"/>
    <xf numFmtId="14" fontId="8" fillId="0" borderId="0" xfId="0" applyNumberFormat="1" applyFont="1"/>
    <xf numFmtId="0" fontId="8" fillId="0" borderId="0" xfId="0" applyFont="1" applyProtection="1"/>
    <xf numFmtId="0" fontId="7" fillId="0" borderId="0" xfId="0" applyFont="1" applyBorder="1"/>
    <xf numFmtId="0" fontId="0" fillId="0" borderId="0" xfId="0" applyAlignment="1">
      <alignment vertical="top" wrapText="1"/>
    </xf>
    <xf numFmtId="0" fontId="2" fillId="0" borderId="0" xfId="1" applyAlignment="1">
      <alignment vertical="top" wrapText="1"/>
    </xf>
    <xf numFmtId="16" fontId="0" fillId="0" borderId="0" xfId="0" applyNumberFormat="1" applyAlignment="1">
      <alignment horizontal="left"/>
    </xf>
    <xf numFmtId="0" fontId="0" fillId="0" borderId="0" xfId="0" applyAlignment="1">
      <alignment horizontal="left"/>
    </xf>
    <xf numFmtId="0" fontId="3" fillId="0" borderId="8" xfId="0" applyFont="1" applyBorder="1" applyProtection="1">
      <protection locked="0"/>
    </xf>
    <xf numFmtId="0" fontId="3" fillId="0" borderId="9" xfId="0" applyFont="1" applyBorder="1" applyProtection="1">
      <protection locked="0"/>
    </xf>
    <xf numFmtId="0" fontId="3" fillId="0" borderId="10" xfId="0" applyFont="1" applyBorder="1" applyProtection="1">
      <protection locked="0"/>
    </xf>
    <xf numFmtId="0" fontId="3" fillId="0" borderId="0" xfId="0" applyFont="1" applyAlignment="1">
      <alignment horizontal="left"/>
    </xf>
    <xf numFmtId="0" fontId="4" fillId="0" borderId="0" xfId="0" applyFont="1" applyFill="1"/>
    <xf numFmtId="0" fontId="9" fillId="0" borderId="0" xfId="0" applyFont="1"/>
    <xf numFmtId="0" fontId="3" fillId="0" borderId="0" xfId="0" applyNumberFormat="1" applyFont="1"/>
    <xf numFmtId="0" fontId="0" fillId="0" borderId="0" xfId="0" applyAlignment="1">
      <alignment horizontal="left" vertical="top" wrapText="1"/>
    </xf>
    <xf numFmtId="0" fontId="2" fillId="0" borderId="0" xfId="1" applyFill="1"/>
    <xf numFmtId="0" fontId="0" fillId="0" borderId="0" xfId="0" applyFill="1"/>
    <xf numFmtId="0" fontId="3" fillId="0" borderId="0" xfId="0" applyFont="1" applyAlignment="1">
      <alignment horizontal="left"/>
    </xf>
    <xf numFmtId="0" fontId="7" fillId="0" borderId="0" xfId="0" applyFont="1" applyBorder="1" applyAlignment="1" applyProtection="1">
      <alignment horizontal="left"/>
      <protection locked="0"/>
    </xf>
    <xf numFmtId="0" fontId="3" fillId="0" borderId="0" xfId="0" applyFont="1" applyBorder="1" applyAlignment="1" applyProtection="1">
      <alignment horizontal="left"/>
      <protection locked="0"/>
    </xf>
    <xf numFmtId="0" fontId="3" fillId="0" borderId="0" xfId="0" applyFont="1" applyFill="1" applyAlignment="1">
      <alignment horizontal="left" vertical="top"/>
    </xf>
    <xf numFmtId="0" fontId="3" fillId="0" borderId="0" xfId="0" applyFont="1" applyAlignment="1">
      <alignment horizontal="left" vertical="top"/>
    </xf>
  </cellXfs>
  <cellStyles count="2">
    <cellStyle name="Link" xfId="1" builtinId="8"/>
    <cellStyle name="Standard" xfId="0" builtinId="0"/>
  </cellStyles>
  <dxfs count="3">
    <dxf>
      <font>
        <color rgb="FFFFC000"/>
      </font>
    </dxf>
    <dxf>
      <fill>
        <patternFill>
          <bgColor rgb="FFBFBFBF"/>
        </patternFill>
      </fill>
    </dxf>
    <dxf>
      <fill>
        <patternFill>
          <bgColor rgb="FFF0B8B7"/>
        </patternFill>
      </fill>
    </dxf>
  </dxfs>
  <tableStyles count="0" defaultTableStyle="TableStyleMedium2" defaultPivotStyle="PivotStyleMedium9"/>
  <colors>
    <mruColors>
      <color rgb="FFFFCCFF"/>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0"/>
  <dimension ref="A1:D6"/>
  <sheetViews>
    <sheetView workbookViewId="0">
      <selection activeCell="B2" sqref="B2"/>
    </sheetView>
  </sheetViews>
  <sheetFormatPr baseColWidth="10" defaultRowHeight="14.25"/>
  <cols>
    <col min="3" max="3" width="17" customWidth="1"/>
  </cols>
  <sheetData>
    <row r="1" spans="1:4">
      <c r="A1" t="s">
        <v>28</v>
      </c>
      <c r="B1" t="s">
        <v>49</v>
      </c>
    </row>
    <row r="2" spans="1:4">
      <c r="A2" t="s">
        <v>38</v>
      </c>
      <c r="B2">
        <v>0</v>
      </c>
      <c r="C2">
        <v>0</v>
      </c>
      <c r="D2" t="s">
        <v>36</v>
      </c>
    </row>
    <row r="3" spans="1:4">
      <c r="A3" t="s">
        <v>27</v>
      </c>
      <c r="C3" s="3"/>
    </row>
    <row r="4" spans="1:4">
      <c r="C4" s="3"/>
    </row>
    <row r="5" spans="1:4">
      <c r="C5" s="3"/>
    </row>
    <row r="6" spans="1:4">
      <c r="C6" s="3"/>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K34"/>
  <sheetViews>
    <sheetView tabSelected="1" zoomScale="130" zoomScaleNormal="130" workbookViewId="0">
      <selection sqref="A1:F1"/>
    </sheetView>
  </sheetViews>
  <sheetFormatPr baseColWidth="10" defaultRowHeight="14.25"/>
  <cols>
    <col min="1" max="1" width="22.1328125" customWidth="1"/>
  </cols>
  <sheetData>
    <row r="1" spans="1:11" ht="139.5" customHeight="1">
      <c r="A1" s="43" t="s">
        <v>32</v>
      </c>
      <c r="B1" s="43"/>
      <c r="C1" s="43"/>
      <c r="D1" s="43"/>
      <c r="E1" s="43"/>
      <c r="F1" s="43"/>
      <c r="G1" s="32"/>
      <c r="H1" s="32"/>
      <c r="I1" s="32"/>
      <c r="J1" s="32"/>
      <c r="K1" s="32"/>
    </row>
    <row r="2" spans="1:11" ht="93.75" customHeight="1">
      <c r="A2" s="43" t="s">
        <v>31</v>
      </c>
      <c r="B2" s="43"/>
      <c r="C2" s="43"/>
      <c r="D2" s="43"/>
      <c r="E2" s="43"/>
      <c r="F2" s="43"/>
      <c r="G2" s="32"/>
      <c r="H2" s="32"/>
      <c r="I2" s="32"/>
      <c r="J2" s="32"/>
      <c r="K2" s="32"/>
    </row>
    <row r="3" spans="1:11" ht="125.25" customHeight="1">
      <c r="A3" s="43" t="s">
        <v>33</v>
      </c>
      <c r="B3" s="43"/>
      <c r="C3" s="43"/>
      <c r="D3" s="43"/>
      <c r="E3" s="43"/>
      <c r="F3" s="43"/>
      <c r="G3" s="32"/>
      <c r="H3" s="32"/>
      <c r="I3" s="32"/>
      <c r="J3" s="32"/>
      <c r="K3" s="32"/>
    </row>
    <row r="4" spans="1:11" ht="170.25" customHeight="1">
      <c r="A4" s="43" t="s">
        <v>37</v>
      </c>
      <c r="B4" s="43"/>
      <c r="C4" s="43"/>
      <c r="D4" s="43"/>
      <c r="E4" s="43"/>
      <c r="F4" s="43"/>
      <c r="G4" s="32"/>
      <c r="H4" s="32"/>
      <c r="I4" s="32"/>
      <c r="J4" s="32"/>
      <c r="K4" s="32"/>
    </row>
    <row r="5" spans="1:11" ht="124.5" customHeight="1">
      <c r="A5" s="43" t="s">
        <v>34</v>
      </c>
      <c r="B5" s="43"/>
      <c r="C5" s="43"/>
      <c r="D5" s="43"/>
      <c r="E5" s="43"/>
      <c r="F5" s="43"/>
      <c r="G5" s="32"/>
      <c r="H5" s="32"/>
      <c r="I5" s="32"/>
      <c r="J5" s="32"/>
      <c r="K5" s="32"/>
    </row>
    <row r="6" spans="1:11" ht="91.5" customHeight="1">
      <c r="A6" s="43" t="s">
        <v>30</v>
      </c>
      <c r="B6" s="43"/>
      <c r="C6" s="43"/>
      <c r="D6" s="43"/>
      <c r="E6" s="43"/>
      <c r="F6" s="43"/>
      <c r="G6" s="32"/>
      <c r="H6" s="32"/>
      <c r="I6" s="32"/>
      <c r="J6" s="32"/>
      <c r="K6" s="32"/>
    </row>
    <row r="7" spans="1:11" ht="16.5" customHeight="1">
      <c r="A7" s="44" t="str">
        <f>HYPERLINK("http://erroronline.one/column3/passwort.php")</f>
        <v>http://erroronline.one/column3/passwort.php</v>
      </c>
      <c r="B7" s="45"/>
      <c r="C7" s="45"/>
      <c r="D7" s="45"/>
      <c r="E7" s="45"/>
      <c r="F7" s="45"/>
      <c r="G7" s="33"/>
      <c r="H7" s="33"/>
      <c r="I7" s="33"/>
      <c r="J7" s="33"/>
      <c r="K7" s="33"/>
    </row>
    <row r="8" spans="1:11" ht="23.25" customHeight="1"/>
    <row r="9" spans="1:11">
      <c r="A9" s="2" t="s">
        <v>20</v>
      </c>
    </row>
    <row r="10" spans="1:11">
      <c r="A10" s="2"/>
    </row>
    <row r="11" spans="1:11">
      <c r="A11" t="s">
        <v>42</v>
      </c>
    </row>
    <row r="12" spans="1:11">
      <c r="A12" t="s">
        <v>12</v>
      </c>
    </row>
    <row r="13" spans="1:11">
      <c r="A13" t="s">
        <v>48</v>
      </c>
    </row>
    <row r="14" spans="1:11">
      <c r="A14" t="s">
        <v>43</v>
      </c>
    </row>
    <row r="15" spans="1:11">
      <c r="A15" t="s">
        <v>44</v>
      </c>
    </row>
    <row r="16" spans="1:11">
      <c r="A16" t="s">
        <v>45</v>
      </c>
    </row>
    <row r="17" spans="1:2">
      <c r="A17" t="s">
        <v>46</v>
      </c>
    </row>
    <row r="18" spans="1:2">
      <c r="A18" t="s">
        <v>47</v>
      </c>
    </row>
    <row r="19" spans="1:2">
      <c r="A19" s="2"/>
    </row>
    <row r="20" spans="1:2">
      <c r="A20" s="1"/>
      <c r="B20" s="34"/>
    </row>
    <row r="21" spans="1:2">
      <c r="A21" s="1"/>
      <c r="B21" s="34"/>
    </row>
    <row r="22" spans="1:2">
      <c r="B22" s="35"/>
    </row>
    <row r="23" spans="1:2">
      <c r="B23" s="35"/>
    </row>
    <row r="24" spans="1:2">
      <c r="B24" s="34"/>
    </row>
    <row r="25" spans="1:2">
      <c r="B25" s="35"/>
    </row>
    <row r="26" spans="1:2">
      <c r="B26" s="35"/>
    </row>
    <row r="27" spans="1:2">
      <c r="B27" s="35"/>
    </row>
    <row r="28" spans="1:2">
      <c r="B28" s="34"/>
    </row>
    <row r="29" spans="1:2">
      <c r="B29" s="34"/>
    </row>
    <row r="30" spans="1:2">
      <c r="B30" s="34"/>
    </row>
    <row r="31" spans="1:2">
      <c r="B31" s="34"/>
    </row>
    <row r="32" spans="1:2">
      <c r="B32" s="34"/>
    </row>
    <row r="33" spans="2:2">
      <c r="B33" s="34"/>
    </row>
    <row r="34" spans="2:2">
      <c r="B34" s="1"/>
    </row>
  </sheetData>
  <sheetProtection algorithmName="SHA-512" hashValue="+Zw60sWjnaWVFcETZSai/SVCbOBUbm0C61iu/3UyQqWqCJW14wgm5gZWZc4i30K0nFS8fhwhKdDTFTFCD+Cq2w==" saltValue="4tB3M6EbXHADAOk++TjiIA==" spinCount="100000" sheet="1" objects="1" scenarios="1"/>
  <mergeCells count="7">
    <mergeCell ref="A6:F6"/>
    <mergeCell ref="A7:F7"/>
    <mergeCell ref="A1:F1"/>
    <mergeCell ref="A2:F2"/>
    <mergeCell ref="A3:F3"/>
    <mergeCell ref="A4:F4"/>
    <mergeCell ref="A5:F5"/>
  </mergeCells>
  <pageMargins left="0.70866141732283472" right="0.70866141732283472" top="0.78740157480314965" bottom="0.78740157480314965" header="0.31496062992125984" footer="0.31496062992125984"/>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I52"/>
  <sheetViews>
    <sheetView zoomScale="115" zoomScaleNormal="115" zoomScaleSheetLayoutView="100" workbookViewId="0">
      <selection activeCell="D2" sqref="D2:H2"/>
    </sheetView>
  </sheetViews>
  <sheetFormatPr baseColWidth="10" defaultColWidth="9.1328125" defaultRowHeight="13.5"/>
  <cols>
    <col min="1" max="1" width="12" style="4" customWidth="1"/>
    <col min="2" max="2" width="6" style="4" customWidth="1"/>
    <col min="3" max="3" width="14.73046875" style="4" customWidth="1"/>
    <col min="4" max="4" width="8" style="4" customWidth="1"/>
    <col min="5" max="5" width="7.3984375" style="4" customWidth="1"/>
    <col min="6" max="6" width="9.3984375" style="4" customWidth="1"/>
    <col min="7" max="7" width="9.86328125" style="4" customWidth="1"/>
    <col min="8" max="8" width="10.73046875" style="4" customWidth="1"/>
    <col min="9" max="9" width="26.86328125" style="4" customWidth="1"/>
    <col min="10" max="16384" width="9.1328125" style="4"/>
  </cols>
  <sheetData>
    <row r="1" spans="1:9" ht="17.649999999999999">
      <c r="A1" s="28" t="s">
        <v>23</v>
      </c>
      <c r="B1" s="28"/>
      <c r="C1" s="29"/>
      <c r="D1" s="30"/>
      <c r="E1" s="30"/>
      <c r="F1" s="28"/>
      <c r="G1" s="28"/>
      <c r="H1" s="28"/>
      <c r="I1" s="28"/>
    </row>
    <row r="2" spans="1:9" ht="17.25">
      <c r="A2" s="28" t="s">
        <v>0</v>
      </c>
      <c r="B2" s="28"/>
      <c r="C2" s="28"/>
      <c r="D2" s="47"/>
      <c r="E2" s="47"/>
      <c r="F2" s="47"/>
      <c r="G2" s="47"/>
      <c r="H2" s="47"/>
      <c r="I2" s="31"/>
    </row>
    <row r="3" spans="1:9" ht="17.25" customHeight="1">
      <c r="A3" s="4" t="s">
        <v>15</v>
      </c>
      <c r="D3" s="48"/>
      <c r="E3" s="48"/>
      <c r="F3" s="48"/>
      <c r="G3" s="48"/>
      <c r="H3" s="48"/>
      <c r="I3" s="5"/>
    </row>
    <row r="4" spans="1:9" ht="17.25" customHeight="1">
      <c r="A4" s="4" t="s">
        <v>1</v>
      </c>
      <c r="C4" s="6"/>
      <c r="D4" s="23"/>
      <c r="E4" s="7" t="s">
        <v>29</v>
      </c>
    </row>
    <row r="5" spans="1:9" ht="17.25" customHeight="1">
      <c r="A5" s="4" t="s">
        <v>39</v>
      </c>
      <c r="C5" s="39"/>
      <c r="D5" s="23" t="s">
        <v>40</v>
      </c>
      <c r="E5" s="40"/>
      <c r="G5" s="41" t="s">
        <v>41</v>
      </c>
    </row>
    <row r="6" spans="1:9" ht="17.25" customHeight="1">
      <c r="A6" s="6" t="s">
        <v>8</v>
      </c>
      <c r="C6" s="7"/>
      <c r="D6" s="4">
        <f>D4/workDaysNum(D5)</f>
        <v>0</v>
      </c>
      <c r="E6" s="7"/>
    </row>
    <row r="7" spans="1:9" ht="17.25" customHeight="1">
      <c r="A7" s="6" t="s">
        <v>9</v>
      </c>
      <c r="C7" s="6"/>
      <c r="D7" s="4" t="e">
        <f ca="1">D6*D8</f>
        <v>#VALUE!</v>
      </c>
      <c r="E7" s="7"/>
    </row>
    <row r="8" spans="1:9" ht="17.25" customHeight="1">
      <c r="A8" s="4" t="s">
        <v>7</v>
      </c>
      <c r="C8" s="6"/>
      <c r="D8" s="8" t="e">
        <f ca="1">countDays(D5, "workdays", MID(CELL("Dateiname",$A$1),FIND("]",CELL("Dateiname",$A$1))+1,31))</f>
        <v>#VALUE!</v>
      </c>
      <c r="E8" s="6"/>
      <c r="F8" s="6"/>
    </row>
    <row r="9" spans="1:9" ht="17.25" customHeight="1">
      <c r="H9" s="9"/>
    </row>
    <row r="10" spans="1:9" ht="17.25" customHeight="1">
      <c r="A10" s="4" t="s">
        <v>2</v>
      </c>
      <c r="B10" s="4" t="s">
        <v>26</v>
      </c>
      <c r="C10" s="4" t="s">
        <v>21</v>
      </c>
      <c r="D10" s="4" t="s">
        <v>3</v>
      </c>
      <c r="E10" s="4" t="s">
        <v>4</v>
      </c>
      <c r="F10" s="4" t="s">
        <v>35</v>
      </c>
      <c r="G10" s="4" t="s">
        <v>36</v>
      </c>
      <c r="H10" s="4" t="s">
        <v>5</v>
      </c>
      <c r="I10" s="4" t="s">
        <v>16</v>
      </c>
    </row>
    <row r="11" spans="1:9" ht="17.25" customHeight="1">
      <c r="A11" s="10" t="e">
        <f>DATE(E1,D1,1)</f>
        <v>#NUM!</v>
      </c>
      <c r="B11" s="4" t="e">
        <f t="shared" ref="B11:B41" si="0">TEXT(A11,"TTT")</f>
        <v>#NUM!</v>
      </c>
      <c r="C11" s="11" t="str">
        <f t="shared" ref="C11:C41" si="1">publicHolidays(A11)</f>
        <v/>
      </c>
      <c r="D11" s="12"/>
      <c r="E11" s="13"/>
      <c r="F11" s="11">
        <f t="shared" ref="F11:F41" si="2">IF(E11-D11&gt;6/24,IF(E11-D11&gt;9/24,45,30),0)</f>
        <v>0</v>
      </c>
      <c r="G11" s="36"/>
      <c r="H11" s="14">
        <f ca="1">calcHours(D11,E11,F11,G11)</f>
        <v>0</v>
      </c>
      <c r="I11" s="11"/>
    </row>
    <row r="12" spans="1:9" ht="17.25" customHeight="1">
      <c r="A12" s="10" t="str">
        <f t="shared" ref="A12:A41" si="3">IFERROR(IF(AND(A11&lt;&gt;"",A11+1&lt;=EOMONTH(A11,0)),A11+1,""),"")</f>
        <v/>
      </c>
      <c r="B12" s="4" t="str">
        <f t="shared" si="0"/>
        <v/>
      </c>
      <c r="C12" s="11" t="str">
        <f t="shared" si="1"/>
        <v/>
      </c>
      <c r="D12" s="15"/>
      <c r="E12" s="16"/>
      <c r="F12" s="11">
        <f t="shared" si="2"/>
        <v>0</v>
      </c>
      <c r="G12" s="37"/>
      <c r="H12" s="14">
        <f t="shared" ref="H12:H41" ca="1" si="4">calcHours(D12,E12,F12,G12)</f>
        <v>0</v>
      </c>
      <c r="I12" s="11"/>
    </row>
    <row r="13" spans="1:9" ht="17.25" customHeight="1">
      <c r="A13" s="10" t="str">
        <f t="shared" si="3"/>
        <v/>
      </c>
      <c r="B13" s="4" t="str">
        <f t="shared" si="0"/>
        <v/>
      </c>
      <c r="C13" s="11" t="str">
        <f t="shared" si="1"/>
        <v/>
      </c>
      <c r="D13" s="15"/>
      <c r="E13" s="16"/>
      <c r="F13" s="11">
        <f t="shared" si="2"/>
        <v>0</v>
      </c>
      <c r="G13" s="37"/>
      <c r="H13" s="14">
        <f t="shared" ca="1" si="4"/>
        <v>0</v>
      </c>
      <c r="I13" s="11"/>
    </row>
    <row r="14" spans="1:9" ht="17.25" customHeight="1">
      <c r="A14" s="10" t="str">
        <f t="shared" si="3"/>
        <v/>
      </c>
      <c r="B14" s="4" t="str">
        <f t="shared" si="0"/>
        <v/>
      </c>
      <c r="C14" s="11" t="str">
        <f t="shared" si="1"/>
        <v/>
      </c>
      <c r="D14" s="15"/>
      <c r="E14" s="16"/>
      <c r="F14" s="11">
        <f t="shared" si="2"/>
        <v>0</v>
      </c>
      <c r="G14" s="37"/>
      <c r="H14" s="14">
        <f t="shared" ca="1" si="4"/>
        <v>0</v>
      </c>
      <c r="I14" s="11"/>
    </row>
    <row r="15" spans="1:9" ht="17.25" customHeight="1">
      <c r="A15" s="10" t="str">
        <f t="shared" si="3"/>
        <v/>
      </c>
      <c r="B15" s="4" t="str">
        <f t="shared" si="0"/>
        <v/>
      </c>
      <c r="C15" s="11" t="str">
        <f t="shared" si="1"/>
        <v/>
      </c>
      <c r="D15" s="15"/>
      <c r="E15" s="16"/>
      <c r="F15" s="11">
        <f t="shared" si="2"/>
        <v>0</v>
      </c>
      <c r="G15" s="37"/>
      <c r="H15" s="14">
        <f t="shared" ca="1" si="4"/>
        <v>0</v>
      </c>
      <c r="I15" s="11"/>
    </row>
    <row r="16" spans="1:9" ht="17.25" customHeight="1">
      <c r="A16" s="10" t="str">
        <f t="shared" si="3"/>
        <v/>
      </c>
      <c r="B16" s="4" t="str">
        <f t="shared" si="0"/>
        <v/>
      </c>
      <c r="C16" s="11" t="str">
        <f t="shared" si="1"/>
        <v/>
      </c>
      <c r="D16" s="15"/>
      <c r="E16" s="16"/>
      <c r="F16" s="11">
        <f t="shared" si="2"/>
        <v>0</v>
      </c>
      <c r="G16" s="37"/>
      <c r="H16" s="14">
        <f t="shared" ca="1" si="4"/>
        <v>0</v>
      </c>
      <c r="I16" s="11"/>
    </row>
    <row r="17" spans="1:9" ht="17.25" customHeight="1">
      <c r="A17" s="10" t="str">
        <f t="shared" si="3"/>
        <v/>
      </c>
      <c r="B17" s="4" t="str">
        <f t="shared" si="0"/>
        <v/>
      </c>
      <c r="C17" s="11" t="str">
        <f t="shared" si="1"/>
        <v/>
      </c>
      <c r="D17" s="15"/>
      <c r="E17" s="16"/>
      <c r="F17" s="11">
        <f t="shared" si="2"/>
        <v>0</v>
      </c>
      <c r="G17" s="37"/>
      <c r="H17" s="14">
        <f t="shared" ca="1" si="4"/>
        <v>0</v>
      </c>
      <c r="I17" s="11"/>
    </row>
    <row r="18" spans="1:9" ht="17.25" customHeight="1">
      <c r="A18" s="10" t="str">
        <f t="shared" si="3"/>
        <v/>
      </c>
      <c r="B18" s="4" t="str">
        <f t="shared" si="0"/>
        <v/>
      </c>
      <c r="C18" s="11" t="str">
        <f t="shared" si="1"/>
        <v/>
      </c>
      <c r="D18" s="15"/>
      <c r="E18" s="16"/>
      <c r="F18" s="11">
        <f t="shared" si="2"/>
        <v>0</v>
      </c>
      <c r="G18" s="37"/>
      <c r="H18" s="14">
        <f t="shared" ca="1" si="4"/>
        <v>0</v>
      </c>
      <c r="I18" s="11"/>
    </row>
    <row r="19" spans="1:9" ht="17.25" customHeight="1">
      <c r="A19" s="10" t="str">
        <f t="shared" si="3"/>
        <v/>
      </c>
      <c r="B19" s="4" t="str">
        <f t="shared" si="0"/>
        <v/>
      </c>
      <c r="C19" s="11" t="str">
        <f t="shared" si="1"/>
        <v/>
      </c>
      <c r="D19" s="15"/>
      <c r="E19" s="16"/>
      <c r="F19" s="11">
        <f t="shared" si="2"/>
        <v>0</v>
      </c>
      <c r="G19" s="37"/>
      <c r="H19" s="14">
        <f t="shared" ca="1" si="4"/>
        <v>0</v>
      </c>
      <c r="I19" s="11"/>
    </row>
    <row r="20" spans="1:9" ht="17.25" customHeight="1">
      <c r="A20" s="10" t="str">
        <f t="shared" si="3"/>
        <v/>
      </c>
      <c r="B20" s="4" t="str">
        <f t="shared" si="0"/>
        <v/>
      </c>
      <c r="C20" s="11" t="str">
        <f t="shared" si="1"/>
        <v/>
      </c>
      <c r="D20" s="15"/>
      <c r="E20" s="16"/>
      <c r="F20" s="11">
        <f t="shared" si="2"/>
        <v>0</v>
      </c>
      <c r="G20" s="37"/>
      <c r="H20" s="14">
        <f t="shared" ca="1" si="4"/>
        <v>0</v>
      </c>
      <c r="I20" s="11"/>
    </row>
    <row r="21" spans="1:9" ht="17.25" customHeight="1">
      <c r="A21" s="10" t="str">
        <f t="shared" si="3"/>
        <v/>
      </c>
      <c r="B21" s="4" t="str">
        <f t="shared" si="0"/>
        <v/>
      </c>
      <c r="C21" s="11" t="str">
        <f t="shared" si="1"/>
        <v/>
      </c>
      <c r="D21" s="15"/>
      <c r="E21" s="16"/>
      <c r="F21" s="11">
        <f t="shared" si="2"/>
        <v>0</v>
      </c>
      <c r="G21" s="37"/>
      <c r="H21" s="14">
        <f t="shared" ca="1" si="4"/>
        <v>0</v>
      </c>
      <c r="I21" s="11"/>
    </row>
    <row r="22" spans="1:9" ht="17.25" customHeight="1">
      <c r="A22" s="10" t="str">
        <f t="shared" si="3"/>
        <v/>
      </c>
      <c r="B22" s="4" t="str">
        <f t="shared" si="0"/>
        <v/>
      </c>
      <c r="C22" s="11" t="str">
        <f t="shared" si="1"/>
        <v/>
      </c>
      <c r="D22" s="15"/>
      <c r="E22" s="16"/>
      <c r="F22" s="11">
        <f t="shared" si="2"/>
        <v>0</v>
      </c>
      <c r="G22" s="37"/>
      <c r="H22" s="14">
        <f t="shared" ca="1" si="4"/>
        <v>0</v>
      </c>
      <c r="I22" s="11"/>
    </row>
    <row r="23" spans="1:9" ht="17.25" customHeight="1">
      <c r="A23" s="10" t="str">
        <f t="shared" si="3"/>
        <v/>
      </c>
      <c r="B23" s="4" t="str">
        <f t="shared" si="0"/>
        <v/>
      </c>
      <c r="C23" s="11" t="str">
        <f t="shared" si="1"/>
        <v/>
      </c>
      <c r="D23" s="15"/>
      <c r="E23" s="16"/>
      <c r="F23" s="11">
        <f t="shared" si="2"/>
        <v>0</v>
      </c>
      <c r="G23" s="37"/>
      <c r="H23" s="14">
        <f t="shared" ca="1" si="4"/>
        <v>0</v>
      </c>
      <c r="I23" s="11"/>
    </row>
    <row r="24" spans="1:9" ht="17.25" customHeight="1">
      <c r="A24" s="10" t="str">
        <f t="shared" si="3"/>
        <v/>
      </c>
      <c r="B24" s="4" t="str">
        <f t="shared" si="0"/>
        <v/>
      </c>
      <c r="C24" s="11" t="str">
        <f t="shared" si="1"/>
        <v/>
      </c>
      <c r="D24" s="15"/>
      <c r="E24" s="16"/>
      <c r="F24" s="11">
        <f t="shared" si="2"/>
        <v>0</v>
      </c>
      <c r="G24" s="37"/>
      <c r="H24" s="14">
        <f t="shared" ca="1" si="4"/>
        <v>0</v>
      </c>
      <c r="I24" s="11"/>
    </row>
    <row r="25" spans="1:9" ht="17.25" customHeight="1">
      <c r="A25" s="10" t="str">
        <f t="shared" si="3"/>
        <v/>
      </c>
      <c r="B25" s="4" t="str">
        <f t="shared" si="0"/>
        <v/>
      </c>
      <c r="C25" s="11" t="str">
        <f t="shared" si="1"/>
        <v/>
      </c>
      <c r="D25" s="15"/>
      <c r="E25" s="16"/>
      <c r="F25" s="11">
        <f t="shared" si="2"/>
        <v>0</v>
      </c>
      <c r="G25" s="37"/>
      <c r="H25" s="14">
        <f t="shared" ca="1" si="4"/>
        <v>0</v>
      </c>
      <c r="I25" s="11"/>
    </row>
    <row r="26" spans="1:9" ht="17.25" customHeight="1">
      <c r="A26" s="10" t="str">
        <f t="shared" si="3"/>
        <v/>
      </c>
      <c r="B26" s="4" t="str">
        <f t="shared" si="0"/>
        <v/>
      </c>
      <c r="C26" s="11" t="str">
        <f t="shared" si="1"/>
        <v/>
      </c>
      <c r="D26" s="15"/>
      <c r="E26" s="16"/>
      <c r="F26" s="11">
        <f t="shared" si="2"/>
        <v>0</v>
      </c>
      <c r="G26" s="37"/>
      <c r="H26" s="14">
        <f t="shared" ca="1" si="4"/>
        <v>0</v>
      </c>
      <c r="I26" s="11"/>
    </row>
    <row r="27" spans="1:9" ht="17.25" customHeight="1">
      <c r="A27" s="10" t="str">
        <f t="shared" si="3"/>
        <v/>
      </c>
      <c r="B27" s="4" t="str">
        <f t="shared" si="0"/>
        <v/>
      </c>
      <c r="C27" s="11" t="str">
        <f t="shared" si="1"/>
        <v/>
      </c>
      <c r="D27" s="15"/>
      <c r="E27" s="16"/>
      <c r="F27" s="11">
        <f t="shared" si="2"/>
        <v>0</v>
      </c>
      <c r="G27" s="37"/>
      <c r="H27" s="14">
        <f t="shared" ca="1" si="4"/>
        <v>0</v>
      </c>
      <c r="I27" s="11"/>
    </row>
    <row r="28" spans="1:9" ht="17.25" customHeight="1">
      <c r="A28" s="10" t="str">
        <f t="shared" si="3"/>
        <v/>
      </c>
      <c r="B28" s="4" t="str">
        <f t="shared" si="0"/>
        <v/>
      </c>
      <c r="C28" s="11" t="str">
        <f t="shared" si="1"/>
        <v/>
      </c>
      <c r="D28" s="15"/>
      <c r="E28" s="16"/>
      <c r="F28" s="11">
        <f t="shared" si="2"/>
        <v>0</v>
      </c>
      <c r="G28" s="37"/>
      <c r="H28" s="14">
        <f t="shared" ca="1" si="4"/>
        <v>0</v>
      </c>
      <c r="I28" s="11"/>
    </row>
    <row r="29" spans="1:9" ht="17.25" customHeight="1">
      <c r="A29" s="10" t="str">
        <f t="shared" si="3"/>
        <v/>
      </c>
      <c r="B29" s="4" t="str">
        <f t="shared" si="0"/>
        <v/>
      </c>
      <c r="C29" s="11" t="str">
        <f t="shared" si="1"/>
        <v/>
      </c>
      <c r="D29" s="15"/>
      <c r="E29" s="16"/>
      <c r="F29" s="11">
        <f t="shared" si="2"/>
        <v>0</v>
      </c>
      <c r="G29" s="37"/>
      <c r="H29" s="14">
        <f t="shared" ca="1" si="4"/>
        <v>0</v>
      </c>
      <c r="I29" s="11"/>
    </row>
    <row r="30" spans="1:9" ht="17.25" customHeight="1">
      <c r="A30" s="10" t="str">
        <f t="shared" si="3"/>
        <v/>
      </c>
      <c r="B30" s="4" t="str">
        <f t="shared" si="0"/>
        <v/>
      </c>
      <c r="C30" s="11" t="str">
        <f t="shared" si="1"/>
        <v/>
      </c>
      <c r="D30" s="15"/>
      <c r="E30" s="16"/>
      <c r="F30" s="11">
        <f t="shared" si="2"/>
        <v>0</v>
      </c>
      <c r="G30" s="37"/>
      <c r="H30" s="14">
        <f t="shared" ca="1" si="4"/>
        <v>0</v>
      </c>
      <c r="I30" s="11"/>
    </row>
    <row r="31" spans="1:9" ht="17.25" customHeight="1">
      <c r="A31" s="10" t="str">
        <f t="shared" si="3"/>
        <v/>
      </c>
      <c r="B31" s="4" t="str">
        <f t="shared" si="0"/>
        <v/>
      </c>
      <c r="C31" s="11" t="str">
        <f t="shared" si="1"/>
        <v/>
      </c>
      <c r="D31" s="15"/>
      <c r="E31" s="16"/>
      <c r="F31" s="11">
        <f t="shared" si="2"/>
        <v>0</v>
      </c>
      <c r="G31" s="37"/>
      <c r="H31" s="14">
        <f t="shared" ca="1" si="4"/>
        <v>0</v>
      </c>
      <c r="I31" s="11"/>
    </row>
    <row r="32" spans="1:9" ht="17.25" customHeight="1">
      <c r="A32" s="10" t="str">
        <f t="shared" si="3"/>
        <v/>
      </c>
      <c r="B32" s="4" t="str">
        <f t="shared" si="0"/>
        <v/>
      </c>
      <c r="C32" s="11" t="str">
        <f t="shared" si="1"/>
        <v/>
      </c>
      <c r="D32" s="15"/>
      <c r="E32" s="16"/>
      <c r="F32" s="11">
        <f t="shared" si="2"/>
        <v>0</v>
      </c>
      <c r="G32" s="37"/>
      <c r="H32" s="14">
        <f t="shared" ca="1" si="4"/>
        <v>0</v>
      </c>
      <c r="I32" s="11"/>
    </row>
    <row r="33" spans="1:9" ht="17.25" customHeight="1">
      <c r="A33" s="10" t="str">
        <f t="shared" si="3"/>
        <v/>
      </c>
      <c r="B33" s="4" t="str">
        <f t="shared" si="0"/>
        <v/>
      </c>
      <c r="C33" s="11" t="str">
        <f t="shared" si="1"/>
        <v/>
      </c>
      <c r="D33" s="15"/>
      <c r="E33" s="16"/>
      <c r="F33" s="11">
        <f t="shared" si="2"/>
        <v>0</v>
      </c>
      <c r="G33" s="37"/>
      <c r="H33" s="14">
        <f t="shared" ca="1" si="4"/>
        <v>0</v>
      </c>
      <c r="I33" s="11"/>
    </row>
    <row r="34" spans="1:9" ht="17.25" customHeight="1">
      <c r="A34" s="10" t="str">
        <f t="shared" si="3"/>
        <v/>
      </c>
      <c r="B34" s="4" t="str">
        <f t="shared" si="0"/>
        <v/>
      </c>
      <c r="C34" s="11" t="str">
        <f t="shared" si="1"/>
        <v/>
      </c>
      <c r="D34" s="15"/>
      <c r="E34" s="16"/>
      <c r="F34" s="11">
        <f t="shared" si="2"/>
        <v>0</v>
      </c>
      <c r="G34" s="37"/>
      <c r="H34" s="14">
        <f t="shared" ca="1" si="4"/>
        <v>0</v>
      </c>
      <c r="I34" s="11"/>
    </row>
    <row r="35" spans="1:9" ht="17.25" customHeight="1">
      <c r="A35" s="10" t="str">
        <f t="shared" si="3"/>
        <v/>
      </c>
      <c r="B35" s="4" t="str">
        <f t="shared" si="0"/>
        <v/>
      </c>
      <c r="C35" s="11" t="str">
        <f t="shared" si="1"/>
        <v/>
      </c>
      <c r="D35" s="15"/>
      <c r="E35" s="16"/>
      <c r="F35" s="11">
        <f t="shared" si="2"/>
        <v>0</v>
      </c>
      <c r="G35" s="37"/>
      <c r="H35" s="14">
        <f t="shared" ca="1" si="4"/>
        <v>0</v>
      </c>
      <c r="I35" s="11"/>
    </row>
    <row r="36" spans="1:9" ht="17.25" customHeight="1">
      <c r="A36" s="10" t="str">
        <f t="shared" si="3"/>
        <v/>
      </c>
      <c r="B36" s="4" t="str">
        <f t="shared" si="0"/>
        <v/>
      </c>
      <c r="C36" s="11" t="str">
        <f t="shared" si="1"/>
        <v/>
      </c>
      <c r="D36" s="15"/>
      <c r="E36" s="16"/>
      <c r="F36" s="11">
        <f t="shared" si="2"/>
        <v>0</v>
      </c>
      <c r="G36" s="37"/>
      <c r="H36" s="14">
        <f t="shared" ca="1" si="4"/>
        <v>0</v>
      </c>
      <c r="I36" s="11"/>
    </row>
    <row r="37" spans="1:9" ht="17.25" customHeight="1">
      <c r="A37" s="10" t="str">
        <f t="shared" si="3"/>
        <v/>
      </c>
      <c r="B37" s="4" t="str">
        <f t="shared" si="0"/>
        <v/>
      </c>
      <c r="C37" s="11" t="str">
        <f t="shared" si="1"/>
        <v/>
      </c>
      <c r="D37" s="15"/>
      <c r="E37" s="16"/>
      <c r="F37" s="11">
        <f t="shared" si="2"/>
        <v>0</v>
      </c>
      <c r="G37" s="37"/>
      <c r="H37" s="14">
        <f t="shared" ca="1" si="4"/>
        <v>0</v>
      </c>
      <c r="I37" s="11"/>
    </row>
    <row r="38" spans="1:9" ht="17.25" customHeight="1">
      <c r="A38" s="10" t="str">
        <f t="shared" si="3"/>
        <v/>
      </c>
      <c r="B38" s="4" t="str">
        <f t="shared" si="0"/>
        <v/>
      </c>
      <c r="C38" s="11" t="str">
        <f t="shared" si="1"/>
        <v/>
      </c>
      <c r="D38" s="15"/>
      <c r="E38" s="16"/>
      <c r="F38" s="11">
        <f t="shared" si="2"/>
        <v>0</v>
      </c>
      <c r="G38" s="37"/>
      <c r="H38" s="14">
        <f t="shared" ca="1" si="4"/>
        <v>0</v>
      </c>
      <c r="I38" s="11"/>
    </row>
    <row r="39" spans="1:9" ht="17.25" customHeight="1">
      <c r="A39" s="10" t="str">
        <f t="shared" si="3"/>
        <v/>
      </c>
      <c r="B39" s="4" t="str">
        <f t="shared" si="0"/>
        <v/>
      </c>
      <c r="C39" s="11" t="str">
        <f t="shared" si="1"/>
        <v/>
      </c>
      <c r="D39" s="15"/>
      <c r="E39" s="16"/>
      <c r="F39" s="11">
        <f t="shared" si="2"/>
        <v>0</v>
      </c>
      <c r="G39" s="37"/>
      <c r="H39" s="14">
        <f t="shared" ca="1" si="4"/>
        <v>0</v>
      </c>
      <c r="I39" s="11"/>
    </row>
    <row r="40" spans="1:9" ht="17.25" customHeight="1">
      <c r="A40" s="10" t="str">
        <f t="shared" si="3"/>
        <v/>
      </c>
      <c r="B40" s="4" t="str">
        <f t="shared" si="0"/>
        <v/>
      </c>
      <c r="C40" s="11" t="str">
        <f t="shared" si="1"/>
        <v/>
      </c>
      <c r="D40" s="15"/>
      <c r="E40" s="16"/>
      <c r="F40" s="11">
        <f t="shared" si="2"/>
        <v>0</v>
      </c>
      <c r="G40" s="37"/>
      <c r="H40" s="14">
        <f t="shared" ca="1" si="4"/>
        <v>0</v>
      </c>
      <c r="I40" s="11"/>
    </row>
    <row r="41" spans="1:9" ht="17.25" customHeight="1">
      <c r="A41" s="10" t="str">
        <f t="shared" si="3"/>
        <v/>
      </c>
      <c r="B41" s="4" t="str">
        <f t="shared" si="0"/>
        <v/>
      </c>
      <c r="C41" s="11" t="str">
        <f t="shared" si="1"/>
        <v/>
      </c>
      <c r="D41" s="17"/>
      <c r="E41" s="18"/>
      <c r="F41" s="11">
        <f t="shared" si="2"/>
        <v>0</v>
      </c>
      <c r="G41" s="38"/>
      <c r="H41" s="14">
        <f t="shared" ca="1" si="4"/>
        <v>0</v>
      </c>
      <c r="I41" s="11"/>
    </row>
    <row r="42" spans="1:9" s="20" customFormat="1" ht="17.25" customHeight="1">
      <c r="A42" s="19"/>
      <c r="D42" s="21"/>
      <c r="E42" s="21"/>
      <c r="H42" s="21"/>
      <c r="I42" s="22"/>
    </row>
    <row r="43" spans="1:9" s="20" customFormat="1" ht="17.25" customHeight="1">
      <c r="C43" s="19" t="s">
        <v>24</v>
      </c>
      <c r="D43" s="23"/>
      <c r="E43" s="21"/>
      <c r="F43" s="49" t="s">
        <v>13</v>
      </c>
      <c r="G43" s="49"/>
      <c r="H43" s="8">
        <f ca="1">SUM(H11:H41)*24</f>
        <v>0</v>
      </c>
      <c r="I43" s="22"/>
    </row>
    <row r="44" spans="1:9" ht="17.25" customHeight="1">
      <c r="C44" s="4" t="s">
        <v>25</v>
      </c>
      <c r="F44" s="50" t="s">
        <v>6</v>
      </c>
      <c r="G44" s="50"/>
      <c r="H44" s="24" t="e">
        <f ca="1">H43-D7</f>
        <v>#VALUE!</v>
      </c>
      <c r="I44" s="11"/>
    </row>
    <row r="45" spans="1:9" ht="17.25" customHeight="1">
      <c r="C45" s="4" t="s">
        <v>12</v>
      </c>
      <c r="D45" s="42" t="e">
        <f ca="1">countDays(D5, "vacation", MID(CELL("Dateiname",$A$1),FIND("]",CELL("Dateiname",$A$1))+1,31))</f>
        <v>#VALUE!</v>
      </c>
      <c r="F45" s="46" t="s">
        <v>10</v>
      </c>
      <c r="G45" s="46"/>
      <c r="H45" s="24"/>
      <c r="I45" s="11"/>
    </row>
    <row r="46" spans="1:9" ht="17.25" customHeight="1">
      <c r="C46" s="19" t="s">
        <v>14</v>
      </c>
      <c r="D46" s="4" t="e">
        <f ca="1">D44-D45</f>
        <v>#VALUE!</v>
      </c>
      <c r="F46" s="46" t="s">
        <v>19</v>
      </c>
      <c r="G46" s="46"/>
      <c r="H46" s="25"/>
      <c r="I46" s="11"/>
    </row>
    <row r="47" spans="1:9" ht="17.25" customHeight="1">
      <c r="F47" s="46" t="s">
        <v>11</v>
      </c>
      <c r="G47" s="46"/>
      <c r="H47" s="24" t="e">
        <f ca="1">SUM(H44:H46)</f>
        <v>#VALUE!</v>
      </c>
      <c r="I47" s="11"/>
    </row>
    <row r="48" spans="1:9" ht="17.25" customHeight="1"/>
    <row r="49" spans="1:9" ht="17.25" customHeight="1">
      <c r="A49" s="4" t="s">
        <v>22</v>
      </c>
    </row>
    <row r="50" spans="1:9" ht="17.25" customHeight="1"/>
    <row r="51" spans="1:9" ht="17.25" customHeight="1"/>
    <row r="52" spans="1:9" ht="17.25" customHeight="1">
      <c r="A52" s="26" t="s">
        <v>17</v>
      </c>
      <c r="B52" s="27"/>
      <c r="C52" s="27"/>
      <c r="D52" s="27"/>
      <c r="F52" s="26" t="s">
        <v>18</v>
      </c>
      <c r="G52" s="27"/>
      <c r="H52" s="27"/>
      <c r="I52" s="27"/>
    </row>
  </sheetData>
  <sheetProtection algorithmName="SHA-512" hashValue="WHuwP7Avfh44ZDO5vb8yRbdzeD0zWs0g/zRjqHp/VQgGUZAjYAuqj8tuhVtZDv0jxutow+Xd4kBNEGfT5s6Nng==" saltValue="w1d2FyPJ1UXVJAZZEvE2Lw==" spinCount="100000" sheet="1" objects="1" scenarios="1"/>
  <dataConsolidate/>
  <mergeCells count="7">
    <mergeCell ref="F46:G46"/>
    <mergeCell ref="F47:G47"/>
    <mergeCell ref="D2:H2"/>
    <mergeCell ref="D3:H3"/>
    <mergeCell ref="F43:G43"/>
    <mergeCell ref="F44:G44"/>
    <mergeCell ref="F45:G45"/>
  </mergeCells>
  <conditionalFormatting sqref="D2:D5 D43">
    <cfRule type="expression" dxfId="2" priority="1" stopIfTrue="1">
      <formula>ISBLANK(D2)</formula>
    </cfRule>
  </conditionalFormatting>
  <conditionalFormatting sqref="B11:B41">
    <cfRule type="expression" dxfId="1" priority="2" stopIfTrue="1">
      <formula>IFERROR(NOT(FIND(B11,$D$5))*FALSE,TRUE)</formula>
    </cfRule>
  </conditionalFormatting>
  <conditionalFormatting sqref="F11:G41">
    <cfRule type="expression" dxfId="0" priority="3" stopIfTrue="1">
      <formula>AND(F11&lt;&gt;0,F11&lt;15)</formula>
    </cfRule>
  </conditionalFormatting>
  <dataValidations count="3">
    <dataValidation type="whole" allowBlank="1" showInputMessage="1" showErrorMessage="1" sqref="E1">
      <formula1>2018</formula1>
      <formula2>2039</formula2>
    </dataValidation>
    <dataValidation type="whole" allowBlank="1" showInputMessage="1" showErrorMessage="1" sqref="D1">
      <formula1>1</formula1>
      <formula2>12</formula2>
    </dataValidation>
    <dataValidation type="list" allowBlank="1" showInputMessage="1" showErrorMessage="1" error="Es können nur Einträge aus der Liste erfolgen" sqref="C11:C41">
      <formula1>absence</formula1>
    </dataValidation>
  </dataValidations>
  <pageMargins left="0.82677165354330717" right="0.23622047244094491" top="0.74803149606299213" bottom="0.74803149606299213" header="0.31496062992125984" footer="0.31496062992125984"/>
  <pageSetup paperSize="9" scale="84" orientation="portrait" r:id="rId1"/>
  <headerFooter>
    <oddHeader>&amp;R&amp;G</oddHeader>
    <oddFooter>&amp;R&amp;G</oddFooter>
  </headerFooter>
  <legacyDrawingHF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2</vt:i4>
      </vt:variant>
    </vt:vector>
  </HeadingPairs>
  <TitlesOfParts>
    <vt:vector size="4" baseType="lpstr">
      <vt:lpstr>info</vt:lpstr>
      <vt:lpstr>M03.2020</vt:lpstr>
      <vt:lpstr>absence</vt:lpstr>
      <vt:lpstr>M03.2020!Druckbereich</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error on line 1</dc:creator>
  <cp:lastModifiedBy>Boris Bertram</cp:lastModifiedBy>
  <cp:lastPrinted>2019-12-05T07:51:32Z</cp:lastPrinted>
  <dcterms:created xsi:type="dcterms:W3CDTF">2006-09-16T00:00:00Z</dcterms:created>
  <dcterms:modified xsi:type="dcterms:W3CDTF">2020-03-18T09:11:52Z</dcterms:modified>
</cp:coreProperties>
</file>