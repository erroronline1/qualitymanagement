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12" i="6"/>
  <c r="H17" i="6"/>
  <c r="H15" i="6"/>
  <c r="H25" i="6"/>
  <c r="H28" i="6"/>
  <c r="H24" i="6"/>
  <c r="H27" i="6"/>
  <c r="H20" i="6"/>
  <c r="H22" i="6"/>
  <c r="H35" i="6"/>
  <c r="H29" i="6"/>
  <c r="H13" i="6"/>
  <c r="H41" i="6"/>
  <c r="H34" i="6"/>
  <c r="H32" i="6"/>
  <c r="H19" i="6"/>
  <c r="H31" i="6"/>
  <c r="H11" i="6"/>
  <c r="H18" i="6"/>
  <c r="H16" i="6"/>
  <c r="H33" i="6"/>
  <c r="H21" i="6"/>
  <c r="H38" i="6"/>
  <c r="H26" i="6"/>
  <c r="H30" i="6"/>
  <c r="H36" i="6"/>
  <c r="H14" i="6"/>
  <c r="H40" i="6"/>
  <c r="H39" i="6"/>
  <c r="H37" i="6"/>
  <c r="H23" i="6"/>
  <c r="B12" i="6" l="1"/>
  <c r="A13" i="6"/>
  <c r="B11" i="6"/>
  <c r="H43" i="6"/>
  <c r="A7" i="11"/>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45" i="6"/>
  <c r="D8" i="6"/>
  <c r="D46" i="6" l="1"/>
  <c r="D7" i="6"/>
  <c r="H44" i="6" s="1"/>
  <c r="H47" i="6" s="1"/>
  <c r="B41" i="6"/>
</calcChain>
</file>

<file path=xl/sharedStrings.xml><?xml version="1.0" encoding="utf-8"?>
<sst xmlns="http://schemas.openxmlformats.org/spreadsheetml/2006/main" count="51" uniqueCount="50">
  <si>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</si>
  <si>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</si>
  <si>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</si>
  <si>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</si>
  <si>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</si>
  <si>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</si>
  <si>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</si>
  <si>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</si>
  <si>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</si>
  <si>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</si>
  <si>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</si>
  <si>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</si>
  <si>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</si>
  <si>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</si>
  <si>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</si>
  <si>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</si>
  <si>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Anmerkung</t>
  </si>
  <si>
    <t>Unterschrift Mitarbeiter</t>
  </si>
  <si>
    <t>Unterschrift Vorgesetzter</t>
  </si>
  <si>
    <t>Korrekturwert</t>
  </si>
  <si>
    <t>Liste von Freistellungen zur Korrektur der errechneten Monatsarbeitszeit</t>
  </si>
  <si>
    <t>Frei</t>
  </si>
  <si>
    <t>Für die abschließende Richtigkeit der Angaben ist der Mitarbeiter verantwortlich.</t>
  </si>
  <si>
    <t>Arbeitszeitaufstellung für</t>
  </si>
  <si>
    <t>Jahresurlaub</t>
  </si>
  <si>
    <t>Rest Vormonat</t>
  </si>
  <si>
    <t>Tag</t>
  </si>
  <si>
    <t>userpass</t>
  </si>
  <si>
    <t>masterpass</t>
  </si>
  <si>
    <t>Stunden</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</si>
  <si>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</si>
  <si>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</si>
  <si>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</si>
  <si>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</si>
  <si>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</si>
  <si>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Pause</t>
  </si>
  <si>
    <t>Homeoffice</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</si>
  <si>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Dienstbeginn und -ende
angepasste Pausenzeiten
Bemerkungen (z.B. Begründung für deutliche Überzeit oder Freizeitausgleich)
</t>
    </r>
  </si>
  <si>
    <t>persistent</t>
  </si>
  <si>
    <t>Arbeitstage</t>
  </si>
  <si>
    <t>Mo, Di, Mi, Do, Fr</t>
  </si>
  <si>
    <t>(Mo - So, Abkürzung wie in Tag, kommagetrennt, sofern zutreffend)</t>
  </si>
  <si>
    <t>Krank</t>
  </si>
  <si>
    <t>Feiertag</t>
  </si>
  <si>
    <t>Berufsschule</t>
  </si>
  <si>
    <t>Dienstreise</t>
  </si>
  <si>
    <t>Elternzeit</t>
  </si>
  <si>
    <t>siehe Anmerkung</t>
  </si>
  <si>
    <t>Überzeit</t>
  </si>
  <si>
    <t>rohgezimmert.umgebundenChefdenkerbauseitig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</si>
</sst>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2" sqref="B2"/>
    </sheetView>
  </sheetViews>
  <sheetFormatPr baseColWidth="10" defaultRowHeight="14.25"/>
  <cols>
    <col min="3" max="3" width="17" customWidth="1"/>
  </cols>
  <sheetData>
    <row r="1" spans="1:3">
      <c r="A1" t="s">
        <v>28</v>
      </c>
      <c r="B1" t="s">
        <v>49</v>
      </c>
    </row>
    <row r="2" spans="1:3">
      <c r="A2" t="s">
        <v>38</v>
      </c>
      <c r="B2">
        <v>0</v>
      </c>
      <c r="C2">
        <v>0</v>
      </c>
    </row>
    <row r="3" spans="1:3">
      <c r="A3" t="s">
        <v>27</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1328125" customWidth="1"/>
  </cols>
  <sheetData>
    <row r="1" spans="1:11" ht="139.5" customHeight="1">
      <c r="A1" s="43" t="s">
        <v>32</v>
      </c>
      <c r="B1" s="43"/>
      <c r="C1" s="43"/>
      <c r="D1" s="43"/>
      <c r="E1" s="43"/>
      <c r="F1" s="43"/>
      <c r="G1" s="32"/>
      <c r="H1" s="32"/>
      <c r="I1" s="32"/>
      <c r="J1" s="32"/>
      <c r="K1" s="32"/>
    </row>
    <row r="2" spans="1:11" ht="93.75" customHeight="1">
      <c r="A2" s="43" t="s">
        <v>31</v>
      </c>
      <c r="B2" s="43"/>
      <c r="C2" s="43"/>
      <c r="D2" s="43"/>
      <c r="E2" s="43"/>
      <c r="F2" s="43"/>
      <c r="G2" s="32"/>
      <c r="H2" s="32"/>
      <c r="I2" s="32"/>
      <c r="J2" s="32"/>
      <c r="K2" s="32"/>
    </row>
    <row r="3" spans="1:11" ht="125.25" customHeight="1">
      <c r="A3" s="43" t="s">
        <v>33</v>
      </c>
      <c r="B3" s="43"/>
      <c r="C3" s="43"/>
      <c r="D3" s="43"/>
      <c r="E3" s="43"/>
      <c r="F3" s="43"/>
      <c r="G3" s="32"/>
      <c r="H3" s="32"/>
      <c r="I3" s="32"/>
      <c r="J3" s="32"/>
      <c r="K3" s="32"/>
    </row>
    <row r="4" spans="1:11" ht="170.25" customHeight="1">
      <c r="A4" s="43" t="s">
        <v>37</v>
      </c>
      <c r="B4" s="43"/>
      <c r="C4" s="43"/>
      <c r="D4" s="43"/>
      <c r="E4" s="43"/>
      <c r="F4" s="43"/>
      <c r="G4" s="32"/>
      <c r="H4" s="32"/>
      <c r="I4" s="32"/>
      <c r="J4" s="32"/>
      <c r="K4" s="32"/>
    </row>
    <row r="5" spans="1:11" ht="124.5" customHeight="1">
      <c r="A5" s="43" t="s">
        <v>34</v>
      </c>
      <c r="B5" s="43"/>
      <c r="C5" s="43"/>
      <c r="D5" s="43"/>
      <c r="E5" s="43"/>
      <c r="F5" s="43"/>
      <c r="G5" s="32"/>
      <c r="H5" s="32"/>
      <c r="I5" s="32"/>
      <c r="J5" s="32"/>
      <c r="K5" s="32"/>
    </row>
    <row r="6" spans="1:11" ht="91.5" customHeight="1">
      <c r="A6" s="43" t="s">
        <v>30</v>
      </c>
      <c r="B6" s="43"/>
      <c r="C6" s="43"/>
      <c r="D6" s="43"/>
      <c r="E6" s="43"/>
      <c r="F6" s="43"/>
      <c r="G6" s="32"/>
      <c r="H6" s="32"/>
      <c r="I6" s="32"/>
      <c r="J6" s="32"/>
      <c r="K6" s="32"/>
    </row>
    <row r="7" spans="1:11" ht="16.5" customHeight="1">
      <c r="A7" s="44" t="str">
        <f>HYPERLINK("http://erroronline.one/column3/passwort.php")</f>
        <v>http://erroronline.one/column3/passwort.php</v>
      </c>
      <c r="B7" s="45"/>
      <c r="C7" s="45"/>
      <c r="D7" s="45"/>
      <c r="E7" s="45"/>
      <c r="F7" s="45"/>
      <c r="G7" s="33"/>
      <c r="H7" s="33"/>
      <c r="I7" s="33"/>
      <c r="J7" s="33"/>
      <c r="K7" s="33"/>
    </row>
    <row r="8" spans="1:11" ht="23.25" customHeight="1"/>
    <row r="9" spans="1:11">
      <c r="A9" s="2" t="s">
        <v>20</v>
      </c>
    </row>
    <row r="10" spans="1:11">
      <c r="A10" s="2"/>
    </row>
    <row r="11" spans="1:11">
      <c r="A11" t="s">
        <v>42</v>
      </c>
    </row>
    <row r="12" spans="1:11">
      <c r="A12" t="s">
        <v>12</v>
      </c>
    </row>
    <row r="13" spans="1:11">
      <c r="A13" t="s">
        <v>48</v>
      </c>
    </row>
    <row r="14" spans="1:11">
      <c r="A14" t="s">
        <v>43</v>
      </c>
    </row>
    <row r="15" spans="1:11">
      <c r="A15" t="s">
        <v>44</v>
      </c>
    </row>
    <row r="16" spans="1:11">
      <c r="A16" t="s">
        <v>45</v>
      </c>
    </row>
    <row r="17" spans="1:2">
      <c r="A17" t="s">
        <v>46</v>
      </c>
    </row>
    <row r="18" spans="1:2">
      <c r="A18" t="s">
        <v>47</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ZIIh8niyH/QleMu7903bpRi9kTmAUizS+NUpCoZTLNbgMYlG0Q4hUNnFZX4S8cDUIFKxU3EQBLCs5JFVknuE2Q==" saltValue="NIDs48WGmDocnr6I+jxwag==" spinCount="100000" sheet="1" objects="1" scenarios="1"/>
  <mergeCells count="7">
    <mergeCell ref="A6:F6"/>
    <mergeCell ref="A7:F7"/>
    <mergeCell ref="A1:F1"/>
    <mergeCell ref="A2:F2"/>
    <mergeCell ref="A3:F3"/>
    <mergeCell ref="A4:F4"/>
    <mergeCell ref="A5:F5"/>
  </mergeCells>
  <pageMargins left="0.70866141732283472" right="0.70866141732283472" top="0.78740157480314965" bottom="0.78740157480314965"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23</v>
      </c>
      <c r="B1" s="28"/>
      <c r="C1" s="29"/>
      <c r="D1" s="30"/>
      <c r="E1" s="30"/>
      <c r="F1" s="28"/>
      <c r="G1" s="28"/>
      <c r="H1" s="28"/>
      <c r="I1" s="28"/>
    </row>
    <row r="2" spans="1:9" ht="17.25">
      <c r="A2" s="28" t="s">
        <v>0</v>
      </c>
      <c r="B2" s="28"/>
      <c r="C2" s="28"/>
      <c r="D2" s="47"/>
      <c r="E2" s="47"/>
      <c r="F2" s="47"/>
      <c r="G2" s="47"/>
      <c r="H2" s="47"/>
      <c r="I2" s="31"/>
    </row>
    <row r="3" spans="1:9" ht="17.25" customHeight="1">
      <c r="A3" s="4" t="s">
        <v>15</v>
      </c>
      <c r="D3" s="48"/>
      <c r="E3" s="48"/>
      <c r="F3" s="48"/>
      <c r="G3" s="48"/>
      <c r="H3" s="48"/>
      <c r="I3" s="5"/>
    </row>
    <row r="4" spans="1:9" ht="17.25" customHeight="1">
      <c r="A4" s="4" t="s">
        <v>1</v>
      </c>
      <c r="C4" s="6"/>
      <c r="D4" s="23"/>
      <c r="E4" s="7" t="s">
        <v>29</v>
      </c>
    </row>
    <row r="5" spans="1:9" ht="17.25" customHeight="1">
      <c r="A5" s="4" t="s">
        <v>39</v>
      </c>
      <c r="C5" s="39"/>
      <c r="D5" s="23" t="s">
        <v>40</v>
      </c>
      <c r="E5" s="40"/>
      <c r="G5" s="41" t="s">
        <v>41</v>
      </c>
    </row>
    <row r="6" spans="1:9" ht="17.25" customHeight="1">
      <c r="A6" s="6" t="s">
        <v>8</v>
      </c>
      <c r="C6" s="7"/>
      <c r="D6" s="4">
        <f>D4/workDaysNum(D5)</f>
        <v>0</v>
      </c>
      <c r="E6" s="7"/>
    </row>
    <row r="7" spans="1:9" ht="17.25" customHeight="1">
      <c r="A7" s="6" t="s">
        <v>9</v>
      </c>
      <c r="C7" s="6"/>
      <c r="D7" s="4" t="e">
        <f ca="1">D6*D8</f>
        <v>#VALUE!</v>
      </c>
      <c r="E7" s="7"/>
    </row>
    <row r="8" spans="1:9" ht="17.25" customHeight="1">
      <c r="A8" s="4" t="s">
        <v>7</v>
      </c>
      <c r="C8" s="6"/>
      <c r="D8" s="8" t="e">
        <f ca="1">countDays(D5, "workdays", MID(CELL("Dateiname",$A$1),FIND("]",CELL("Dateiname",$A$1))+1,31))</f>
        <v>#VALUE!</v>
      </c>
      <c r="E8" s="6"/>
      <c r="F8" s="6"/>
    </row>
    <row r="9" spans="1:9" ht="17.25" customHeight="1">
      <c r="H9" s="9"/>
    </row>
    <row r="10" spans="1:9" ht="17.25" customHeight="1">
      <c r="A10" s="4" t="s">
        <v>2</v>
      </c>
      <c r="B10" s="4" t="s">
        <v>26</v>
      </c>
      <c r="C10" s="4" t="s">
        <v>21</v>
      </c>
      <c r="D10" s="4" t="s">
        <v>3</v>
      </c>
      <c r="E10" s="4" t="s">
        <v>4</v>
      </c>
      <c r="F10" s="4" t="s">
        <v>35</v>
      </c>
      <c r="G10" s="4" t="s">
        <v>36</v>
      </c>
      <c r="H10" s="4" t="s">
        <v>5</v>
      </c>
      <c r="I10" s="4" t="s">
        <v>16</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24</v>
      </c>
      <c r="D43" s="23"/>
      <c r="E43" s="21"/>
      <c r="F43" s="49" t="s">
        <v>13</v>
      </c>
      <c r="G43" s="49"/>
      <c r="H43" s="8">
        <f ca="1">SUM(H11:H41)*24</f>
        <v>0</v>
      </c>
      <c r="I43" s="22"/>
    </row>
    <row r="44" spans="1:9" ht="17.25" customHeight="1">
      <c r="C44" s="4" t="s">
        <v>25</v>
      </c>
      <c r="F44" s="50" t="s">
        <v>6</v>
      </c>
      <c r="G44" s="50"/>
      <c r="H44" s="24" t="e">
        <f ca="1">H43-D7</f>
        <v>#VALUE!</v>
      </c>
      <c r="I44" s="11"/>
    </row>
    <row r="45" spans="1:9" ht="17.25" customHeight="1">
      <c r="C45" s="4" t="s">
        <v>12</v>
      </c>
      <c r="D45" s="42" t="e">
        <f ca="1">countDays(D5, "vacation", MID(CELL("Dateiname",$A$1),FIND("]",CELL("Dateiname",$A$1))+1,31))</f>
        <v>#VALUE!</v>
      </c>
      <c r="F45" s="46" t="s">
        <v>10</v>
      </c>
      <c r="G45" s="46"/>
      <c r="H45" s="24"/>
      <c r="I45" s="11"/>
    </row>
    <row r="46" spans="1:9" ht="17.25" customHeight="1">
      <c r="C46" s="19" t="s">
        <v>14</v>
      </c>
      <c r="D46" s="4" t="e">
        <f ca="1">D44-D45</f>
        <v>#VALUE!</v>
      </c>
      <c r="F46" s="46" t="s">
        <v>19</v>
      </c>
      <c r="G46" s="46"/>
      <c r="H46" s="25"/>
      <c r="I46" s="11"/>
    </row>
    <row r="47" spans="1:9" ht="17.25" customHeight="1">
      <c r="F47" s="46" t="s">
        <v>11</v>
      </c>
      <c r="G47" s="46"/>
      <c r="H47" s="24" t="e">
        <f ca="1">SUM(H44:H46)</f>
        <v>#VALUE!</v>
      </c>
      <c r="I47" s="11"/>
    </row>
    <row r="48" spans="1:9" ht="17.25" customHeight="1"/>
    <row r="49" spans="1:9" ht="17.25" customHeight="1">
      <c r="A49" s="4" t="s">
        <v>22</v>
      </c>
    </row>
    <row r="50" spans="1:9" ht="17.25" customHeight="1"/>
    <row r="51" spans="1:9" ht="17.25" customHeight="1"/>
    <row r="52" spans="1:9" ht="17.25" customHeight="1">
      <c r="A52" s="26" t="s">
        <v>17</v>
      </c>
      <c r="B52" s="27"/>
      <c r="C52" s="27"/>
      <c r="D52" s="27"/>
      <c r="F52" s="26" t="s">
        <v>18</v>
      </c>
      <c r="G52" s="27"/>
      <c r="H52" s="27"/>
      <c r="I52" s="27"/>
    </row>
  </sheetData>
  <sheetProtection algorithmName="SHA-512" hashValue="WHuwP7Avfh44ZDO5vb8yRbdzeD0zWs0g/zRjqHp/VQgGUZAjYAuqj8tuhVtZDv0jxutow+Xd4kBNEGfT5s6Nng==" saltValue="w1d2FyPJ1UXVJAZZEvE2Lw==" spinCount="100000" sheet="1" objects="1" scenarios="1"/>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headerFooter>
    <oddHeader>&amp;R&amp;G</oddHeader>
    <oddFooter>&amp;R&amp;G</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2020-03-07T08:56:56Z</dcterms:modified>
</cp:coreProperties>
</file>